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Casos de Prueba" sheetId="2" r:id="rId6"/>
    <sheet state="visible" name="EM_v1" sheetId="3" r:id="rId7"/>
    <sheet state="visible" name="EM_v2" sheetId="4" r:id="rId8"/>
    <sheet state="visible" name="EM_v3" sheetId="5" r:id="rId9"/>
    <sheet state="visible" name="EM_v4" sheetId="6" r:id="rId10"/>
    <sheet state="visible" name="EG_v1" sheetId="7" r:id="rId11"/>
    <sheet state="visible" name="C_v1" sheetId="8" r:id="rId12"/>
    <sheet state="visible" name="C_v2" sheetId="9" r:id="rId13"/>
    <sheet state="visible" name="C_v3" sheetId="10" r:id="rId14"/>
    <sheet state="visible" name="C_v4" sheetId="11" r:id="rId15"/>
    <sheet state="visible" name="Indicadores instancias" sheetId="12" r:id="rId16"/>
    <sheet state="visible" name="EM_v4_s1" sheetId="13" r:id="rId17"/>
    <sheet state="visible" name="EM_v4_s2" sheetId="14" r:id="rId18"/>
    <sheet state="visible" name="EM_v4_s3" sheetId="15" r:id="rId19"/>
    <sheet state="visible" name="EM_v4_s4" sheetId="16" r:id="rId20"/>
    <sheet state="visible" name="EM_v4_s5" sheetId="17" r:id="rId21"/>
    <sheet state="visible" name="EM_v4_all" sheetId="18" r:id="rId22"/>
    <sheet state="visible" name="dags_010_s1" sheetId="19" r:id="rId23"/>
  </sheets>
  <definedNames>
    <definedName hidden="1" localSheetId="1" name="_xlnm._FilterDatabase">'Casos de Prueba'!$A$1:$F$111</definedName>
    <definedName hidden="1" localSheetId="2" name="_xlnm._FilterDatabase">EM_v1!$A$1:$L$111</definedName>
    <definedName hidden="1" localSheetId="3" name="_xlnm._FilterDatabase">EM_v2!$A$1:$L$111</definedName>
    <definedName hidden="1" localSheetId="4" name="_xlnm._FilterDatabase">EM_v3!$A$1:$L$111</definedName>
    <definedName hidden="1" localSheetId="5" name="_xlnm._FilterDatabase">EM_v4!$A$1:$L$111</definedName>
    <definedName hidden="1" localSheetId="6" name="_xlnm._FilterDatabase">EG_v1!$A$1:$J$79</definedName>
    <definedName hidden="1" localSheetId="7" name="_xlnm._FilterDatabase">C_v1!$A$1:$I$77</definedName>
    <definedName hidden="1" localSheetId="8" name="_xlnm._FilterDatabase">C_v2!$A$1:$K$78</definedName>
    <definedName hidden="1" localSheetId="9" name="_xlnm._FilterDatabase">C_v3!$A$1:$K$78</definedName>
    <definedName hidden="1" localSheetId="10" name="_xlnm._FilterDatabase">C_v4!$A$1:$K$78</definedName>
    <definedName hidden="1" localSheetId="11" name="_xlnm._FilterDatabase">'Indicadores instancias'!$A$1:$I$111</definedName>
    <definedName hidden="1" localSheetId="12" name="_xlnm._FilterDatabase">EM_v4_s1!$A$1:$L$111</definedName>
    <definedName hidden="1" localSheetId="13" name="_xlnm._FilterDatabase">EM_v4_s2!$A$1:$L$111</definedName>
    <definedName hidden="1" localSheetId="14" name="_xlnm._FilterDatabase">EM_v4_s3!$A$1:$L$111</definedName>
    <definedName hidden="1" localSheetId="15" name="_xlnm._FilterDatabase">EM_v4_s4!$A$1:$L$111</definedName>
    <definedName hidden="1" localSheetId="16" name="_xlnm._FilterDatabase">EM_v4_s5!$A$1:$L$111</definedName>
    <definedName hidden="1" localSheetId="17" name="_xlnm._FilterDatabase">EM_v4_all!$A$1:$I$111</definedName>
    <definedName hidden="1" localSheetId="18" name="_xlnm._FilterDatabase">dags_010_s1!$A$1:$E$11</definedName>
  </definedNames>
  <calcPr/>
</workbook>
</file>

<file path=xl/sharedStrings.xml><?xml version="1.0" encoding="utf-8"?>
<sst xmlns="http://schemas.openxmlformats.org/spreadsheetml/2006/main" count="3855" uniqueCount="232">
  <si>
    <t>Nombre Hoja</t>
  </si>
  <si>
    <t>Descripción</t>
  </si>
  <si>
    <t>Casos de Prueba</t>
  </si>
  <si>
    <t>Todos los casos de prueba realizados</t>
  </si>
  <si>
    <t>EM_v1</t>
  </si>
  <si>
    <t>Datos de las pruebas realizadas a la metaheurística propuesta</t>
  </si>
  <si>
    <t>EM_v2</t>
  </si>
  <si>
    <t>Datos de las pruebas realizadas a la metaheurística propuesta con arreglo, con cantidad maxima de iteraciones en 1000 tardo 0m45,743s</t>
  </si>
  <si>
    <t>EM_v3</t>
  </si>
  <si>
    <t>Datos de las pruebas realizadas a la metaheurística  propuesta con arreglo, con cantidad maxima de iteraciones en 10000 tardo 3m11,596s</t>
  </si>
  <si>
    <t>EM_v4</t>
  </si>
  <si>
    <t>Datos de las pruebas realizadas a la metaheurística propuesta con arreglo, con cantidad maxima de iteraciones en 100000 tardo 52m1,327s (seed = 1)</t>
  </si>
  <si>
    <t>EG</t>
  </si>
  <si>
    <t>Datos de las pruebas realizadas a la Gurobi</t>
  </si>
  <si>
    <t>C_v1</t>
  </si>
  <si>
    <t>Comparación de los metodos EM_v1 y EG</t>
  </si>
  <si>
    <t>C_v2</t>
  </si>
  <si>
    <t>Comparación de los metodos con el arreglo en la metaheurística (EM_v2 y EG)</t>
  </si>
  <si>
    <t>C_v3</t>
  </si>
  <si>
    <t>Comparación de los metodos con el arreglo en la metaheurística (EM_v3 y EG)</t>
  </si>
  <si>
    <t>C_v4</t>
  </si>
  <si>
    <t>Comparación de los metodos con el arreglo en la metaheurística (EM_v4 y EG)</t>
  </si>
  <si>
    <t>Indicadores instancias</t>
  </si>
  <si>
    <t>Indicadores de calidad de instancias corporativas y sinteticas</t>
  </si>
  <si>
    <t>EM_v4_s1</t>
  </si>
  <si>
    <t>Datos de las pruebas realizadas a la metaheurística propuesta con arreglo (seed = 1)</t>
  </si>
  <si>
    <t>EM_v4_s2</t>
  </si>
  <si>
    <t>Datos de las pruebas realizadas a la metaheurística propuesta con arreglo (seed = 2)</t>
  </si>
  <si>
    <t>EM_v4_s3</t>
  </si>
  <si>
    <t>Datos de las pruebas realizadas a la metaheurística propuesta con arreglo (seed = 3)</t>
  </si>
  <si>
    <t>EM_v4_s4</t>
  </si>
  <si>
    <t>Datos de las pruebas realizadas a la metaheurística propuesta con arreglo (seed = 4)</t>
  </si>
  <si>
    <t>EM_v4_s5</t>
  </si>
  <si>
    <t>Datos de las pruebas realizadas a la metaheurística propuesta con arreglo (seed = 5)</t>
  </si>
  <si>
    <t>EM_v4_all</t>
  </si>
  <si>
    <t>Resumen de pruebas realizadas a la metaheurística propuesta con arreglo</t>
  </si>
  <si>
    <t>dags_010_s2</t>
  </si>
  <si>
    <t>Archivo de caso corporativo con 10 DAGs</t>
  </si>
  <si>
    <t>Nombre Instancia</t>
  </si>
  <si>
    <t>Tipo Instancia</t>
  </si>
  <si>
    <t>Cantidad de DAGs</t>
  </si>
  <si>
    <t>Cantidad Tablas Target</t>
  </si>
  <si>
    <t>Cantidad Tablas Source</t>
  </si>
  <si>
    <t>Tablas Totales</t>
  </si>
  <si>
    <t>dags_p0025_s4</t>
  </si>
  <si>
    <t>Sintética</t>
  </si>
  <si>
    <t>dags_p0020_s3</t>
  </si>
  <si>
    <t>dags_m0150_s3</t>
  </si>
  <si>
    <t>dags_g0500_s4</t>
  </si>
  <si>
    <t>dags_p0010_s5</t>
  </si>
  <si>
    <t>dags_p0015_s5</t>
  </si>
  <si>
    <t>dags_p0030_s2</t>
  </si>
  <si>
    <t>dags_300_s1</t>
  </si>
  <si>
    <t>Corporativa</t>
  </si>
  <si>
    <t>dags_m0050_s3</t>
  </si>
  <si>
    <t>dags_015_s1</t>
  </si>
  <si>
    <t>dags_m0200_s5</t>
  </si>
  <si>
    <t>dags_g0500_s3</t>
  </si>
  <si>
    <t>dags_p0040_s3</t>
  </si>
  <si>
    <t>dags_p0015_s4</t>
  </si>
  <si>
    <t>dags_p0015_s3</t>
  </si>
  <si>
    <t>dags_100_s1</t>
  </si>
  <si>
    <t>dags_m0075_s1</t>
  </si>
  <si>
    <t>dags_g1000_s3</t>
  </si>
  <si>
    <t>dags_g1000_s5</t>
  </si>
  <si>
    <t>dags_030_s2</t>
  </si>
  <si>
    <t>dags_p0040_s1</t>
  </si>
  <si>
    <t>dags_g0250_s2</t>
  </si>
  <si>
    <t>dags_m0200_s2</t>
  </si>
  <si>
    <t>dags_050_s1</t>
  </si>
  <si>
    <t>dags_g0250_s3</t>
  </si>
  <si>
    <t>dags_p0025_s2</t>
  </si>
  <si>
    <t>dags_m0075_s2</t>
  </si>
  <si>
    <t>dags_p0020_s2</t>
  </si>
  <si>
    <t>dags_m0075_s3</t>
  </si>
  <si>
    <t>dags_p0040_s2</t>
  </si>
  <si>
    <t>dags_m0050_s5</t>
  </si>
  <si>
    <t>dags_g0250_s1</t>
  </si>
  <si>
    <t>dags_g0500_s5</t>
  </si>
  <si>
    <t>dags_g1000_s4</t>
  </si>
  <si>
    <t>dags_g0300_s2</t>
  </si>
  <si>
    <t>dags_g0750_s3</t>
  </si>
  <si>
    <t>dags_g0500_s1</t>
  </si>
  <si>
    <t>dags_g1000_s1</t>
  </si>
  <si>
    <t>dags_g0250_s5</t>
  </si>
  <si>
    <t>dags_020_s2</t>
  </si>
  <si>
    <t>dags_500_s1</t>
  </si>
  <si>
    <t>dags_p0025_s3</t>
  </si>
  <si>
    <t>dags_m0050_s1</t>
  </si>
  <si>
    <t>dags_m0150_s2</t>
  </si>
  <si>
    <t>dags_g0750_s1</t>
  </si>
  <si>
    <t>dags_p0030_s5</t>
  </si>
  <si>
    <t>dags_m0100_s5</t>
  </si>
  <si>
    <t>dags_010_s1</t>
  </si>
  <si>
    <t>dags_150_s1</t>
  </si>
  <si>
    <t>dags_p0020_s1</t>
  </si>
  <si>
    <t>dags_p0030_s3</t>
  </si>
  <si>
    <t>dags_m0125_s1</t>
  </si>
  <si>
    <t>dags_m0100_s3</t>
  </si>
  <si>
    <t>dags_g0400_s1</t>
  </si>
  <si>
    <t>dags_100_s2</t>
  </si>
  <si>
    <t>dags_m0100_s1</t>
  </si>
  <si>
    <t>dags_m0125_s4</t>
  </si>
  <si>
    <t>dags_p0020_s4</t>
  </si>
  <si>
    <t>dags_g0250_s4</t>
  </si>
  <si>
    <t>dags_025_s1</t>
  </si>
  <si>
    <t>dags_p0030_s4</t>
  </si>
  <si>
    <t>dags_g0300_s1</t>
  </si>
  <si>
    <t>dags_p0040_s4</t>
  </si>
  <si>
    <t>dags_020_s1</t>
  </si>
  <si>
    <t>dags_208_s2</t>
  </si>
  <si>
    <t>dags_p0010_s2</t>
  </si>
  <si>
    <t>dags_m0200_s3</t>
  </si>
  <si>
    <t>dags_g0400_s4</t>
  </si>
  <si>
    <t>dags_040_s1</t>
  </si>
  <si>
    <t>dags_p0025_s1</t>
  </si>
  <si>
    <t>dags_m0125_s3</t>
  </si>
  <si>
    <t>dags_m0100_s2</t>
  </si>
  <si>
    <t>dags_g0300_s4</t>
  </si>
  <si>
    <t>dags_m0075_s5</t>
  </si>
  <si>
    <t>dags_m0075_s4</t>
  </si>
  <si>
    <t>dags_m0125_s2</t>
  </si>
  <si>
    <t>dags_p0040_s5</t>
  </si>
  <si>
    <t>dags_075_s1</t>
  </si>
  <si>
    <t>dags_p0010_s4</t>
  </si>
  <si>
    <t>dags_p0010_s1</t>
  </si>
  <si>
    <t>dags_030_s1</t>
  </si>
  <si>
    <t>dags_g0750_s2</t>
  </si>
  <si>
    <t>dags_m0200_s1</t>
  </si>
  <si>
    <t>dags_g0750_s5</t>
  </si>
  <si>
    <t>dags_p0015_s1</t>
  </si>
  <si>
    <t>dags_p0020_s5</t>
  </si>
  <si>
    <t>dags_208_corp</t>
  </si>
  <si>
    <t>dags_p0010_s3</t>
  </si>
  <si>
    <t>dags_p0025_s5</t>
  </si>
  <si>
    <t>dags_m0050_s2</t>
  </si>
  <si>
    <t>dags_m0150_s5</t>
  </si>
  <si>
    <t>dags_m0150_s4</t>
  </si>
  <si>
    <t>dags_g0400_s5</t>
  </si>
  <si>
    <t>dags_g0400_s3</t>
  </si>
  <si>
    <t>dags_p0015_s2</t>
  </si>
  <si>
    <t>dags_015_s2</t>
  </si>
  <si>
    <t>dags_g0500_s2</t>
  </si>
  <si>
    <t>dags_m0100_s4</t>
  </si>
  <si>
    <t>dags_g1000_s2</t>
  </si>
  <si>
    <t>dags_m0200_s4</t>
  </si>
  <si>
    <t>dags_m0150_s1</t>
  </si>
  <si>
    <t>dags_m0125_s5</t>
  </si>
  <si>
    <t>dags_m0050_s4</t>
  </si>
  <si>
    <t>dags_g0400_s2</t>
  </si>
  <si>
    <t>dags_050_s2</t>
  </si>
  <si>
    <t>dags_g0300_s3</t>
  </si>
  <si>
    <t>dags_g0300_s5</t>
  </si>
  <si>
    <t>dags_p0030_s1</t>
  </si>
  <si>
    <t>dags_g0750_s4</t>
  </si>
  <si>
    <t>Fitness</t>
  </si>
  <si>
    <t>Tiempo (s)</t>
  </si>
  <si>
    <t>Dominios Generados</t>
  </si>
  <si>
    <t>DAGs/Dominio</t>
  </si>
  <si>
    <t>Afinidad Interna</t>
  </si>
  <si>
    <t>Conflictos Escritura</t>
  </si>
  <si>
    <t>GREEN</t>
  </si>
  <si>
    <t>YELLOW</t>
  </si>
  <si>
    <t>RED</t>
  </si>
  <si>
    <t>Dominios</t>
  </si>
  <si>
    <t>Estado</t>
  </si>
  <si>
    <t>Valor Objetivo</t>
  </si>
  <si>
    <t>Cota Superior</t>
  </si>
  <si>
    <t>Gap Gurobi (%)</t>
  </si>
  <si>
    <t>Tiempo Gurobi (s)</t>
  </si>
  <si>
    <t>Nodos Explorados</t>
  </si>
  <si>
    <t>Óptimo</t>
  </si>
  <si>
    <t>Límite de tiempo</t>
  </si>
  <si>
    <t>Interrumpido</t>
  </si>
  <si>
    <t>Valor Objetivo Metaheuristica</t>
  </si>
  <si>
    <t>Tiempo Metaheuristica (s)</t>
  </si>
  <si>
    <t>Valor Objetivo Gurobi</t>
  </si>
  <si>
    <t>Diferencia Fitness</t>
  </si>
  <si>
    <t>Diferencia Tiempo</t>
  </si>
  <si>
    <t>Mejor Metodo Fitness</t>
  </si>
  <si>
    <t>Mejor Metodo Tiempo</t>
  </si>
  <si>
    <t>Tamaño</t>
  </si>
  <si>
    <t>Cantidad de Tablas</t>
  </si>
  <si>
    <t>Tablas Source Promedio</t>
  </si>
  <si>
    <t>Tablas Target Promedio</t>
  </si>
  <si>
    <t>DAGs por Tabla</t>
  </si>
  <si>
    <t>Densidad</t>
  </si>
  <si>
    <t>Pequeña</t>
  </si>
  <si>
    <t>Mediana</t>
  </si>
  <si>
    <t>Grande</t>
  </si>
  <si>
    <t>Tamaño Instancia</t>
  </si>
  <si>
    <t>Mejor calidad</t>
  </si>
  <si>
    <t>Calidad promedio</t>
  </si>
  <si>
    <t>Tiempo promedio</t>
  </si>
  <si>
    <t>Diferencia Calidad</t>
  </si>
  <si>
    <t>Peor calidad</t>
  </si>
  <si>
    <t>Porcentaje mejora</t>
  </si>
  <si>
    <t>DAG</t>
  </si>
  <si>
    <t>NumTablasAlimenta</t>
  </si>
  <si>
    <t>TablasAlimenta</t>
  </si>
  <si>
    <t>NumTablasAlimentan</t>
  </si>
  <si>
    <t>TablasAlimentan</t>
  </si>
  <si>
    <t>dlk_sap_homologo_planta_mini_bb</t>
  </si>
  <si>
    <t>dlk_planta_competencia_v1,dlk_planta_egreso_v1,dlk_planta_bono_v2,dlk_planta_posicion_v2,dlk_planta_evaluacion_v2</t>
  </si>
  <si>
    <t>nomina_desempeno_2023_sap,m4vw_jef_directos_sap,template_cargos_sap,socios_sap,posicion_sap,ppn_familia_cargo_sap,std_country_sap,flexibles_sap,laborales_sap,personales_sap,m4cci_x_tipo_baja_sap,arbol_jerarquico_sap</t>
  </si>
  <si>
    <t>proc_linkedin_learning_report</t>
  </si>
  <si>
    <t>proc_talento_unidad,proc_talento_encuesta,proc_talento_vacante,proc_talento_unidad_v1,proc_talento_posicion,proc_talento_ingreso_v1</t>
  </si>
  <si>
    <t>dlk_planta_bono_v2,dlk_planta_competencia_v1,dlk_planta_egreso_v1,dlk_planta_posicion_v2,dlk_planta_evaluacion_v2</t>
  </si>
  <si>
    <t>proc_ejemplos_operadores_databricks</t>
  </si>
  <si>
    <t>proc_planta_ingreso_v1,proc_planta_cargo,proc_planta_evaluacion,proc_planta_sucursal</t>
  </si>
  <si>
    <t>dlk_planta_posicion_v2,dlk_planta_evaluacion_v2,dlk_planta_bono_v2,dlk_planta_competencia_v1,dlk_planta_egreso_v1</t>
  </si>
  <si>
    <t>gob_qualtrics_formacion</t>
  </si>
  <si>
    <t>gob_talento_posicion_v2,gob_talento_centro_costo_v1,gob_talento_colaborador_v1,gob_talento_ingreso_v1,gob_talento_sucursal_v2,gob_talento_region,gob_talento_beca_v2,gob_talento_beca_v1</t>
  </si>
  <si>
    <t>dlk_planta_competencia_v1,dlk_planta_egreso_v1,dlk_planta_posicion_v2,dlk_planta_evaluacion_v2,dlk_planta_bono_v2,nomina_desempeno_2023_sap</t>
  </si>
  <si>
    <t>dlk_sap_homologo_experiencia_previa</t>
  </si>
  <si>
    <t>dlk_planta_cargo_v2,dlk_planta_beca,dlk_planta_ingreso_v2,dlk_planta_encuesta,dlk_planta_postulante_v1,dlk_planta_region_v1</t>
  </si>
  <si>
    <t>personales_sap,nomina_desempeno_2023_sap,nomina_desempeno_2024_sap,ppn_duty_sap,m4vw_jef_directos_sap,posicion_sap,laborales_sap,template_nivel_hay_sap,planta_completa_sap,template_departamento_sap,m4cci_x_tipo_baja_sap,ppn_familia_cargo_sap,template_cargos_sap</t>
  </si>
  <si>
    <t>dash_formacion</t>
  </si>
  <si>
    <t>dash_talento_colaborador_kpi,dash_talento_incidencia_kpi,dash_talento_contrato_kpi</t>
  </si>
  <si>
    <t>gob_talento_beca_v1,gob_talento_centro_costo_v1,gob_talento_colaborador_v1,gob_talento_posicion_v2,gob_talento_sucursal_v2,proc_talento_vacante,proc_talento_unidad_v1,proc_talento_encuesta,gob_talento_ingreso_v1,proc_talento_posicion,proc_talento_unidad,gob_talento_beca_v2,proc_talento_ingreso_v1,gob_talento_region</t>
  </si>
  <si>
    <t>gob_4talent_proceso_seleccion_sap</t>
  </si>
  <si>
    <t>gob_planta_unidad,gob_planta_sucursal_v1,gob_planta_incidencia_v2,gob_planta_region_v2,gob_planta_curso_v1,gob_planta_incidencia_v1,gob_planta_indicador_v2</t>
  </si>
  <si>
    <t>dlk_planta_competencia_v1,dlk_planta_beca,dlk_planta_evaluacion_v2,dlk_planta_posicion_v2,dlk_planta_egreso_v1,dlk_planta_bono_v2,dlk_planta_ingreso_v2,dlk_planta_encuesta,dlk_planta_cargo_v2,dlk_planta_region_v1,dlk_planta_postulante_v1,m4vw_jef_directos_sap</t>
  </si>
  <si>
    <t>dlk_sap_homologo_capacidades_diferentes</t>
  </si>
  <si>
    <t>dlk_talento_turno,dlk_talento_sucursal_v2</t>
  </si>
  <si>
    <t>std_work_unit_sap,template_departamento_sap,planta_internacional_sap,nomina_desempeno_2023_sap,posicion_sap,template_nivel_hay_sap,laborales_sap,m4vw_laborales_sap,personales_sap</t>
  </si>
  <si>
    <t>dlk_edx</t>
  </si>
  <si>
    <t>dlk_planta_meta_v2,dlk_planta_competencia,dlk_planta_incidencia_v1,dlk_planta_bono_v1</t>
  </si>
  <si>
    <t>template_nivel_hay_sap,laborales_sap,template_centro_costo_sap,template_cargos_detalle_sap,desarrollo_becas_sap</t>
  </si>
  <si>
    <t>gob_egresos</t>
  </si>
  <si>
    <t>gob_talento_sucursal_v1,gob_talento_encuesta_v2,gob_talento_contrato_v1,gob_talento_evaluacion_v2,gob_talento_contrato_v2,gob_talento_licencia,gob_talento_incidencia_v1,gob_talento_traslado_v2</t>
  </si>
  <si>
    <t>dlk_talento_sucursal_v2,dlk_talento_turno,std_work_location_sap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</si>
</sst>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2" xfId="0" applyAlignment="1" applyBorder="1" applyFont="1" applyNumberFormat="1">
      <alignment horizontal="center" readingOrder="0" shrinkToFit="0" vertical="bottom" wrapText="0"/>
    </xf>
    <xf borderId="0" fillId="0" fontId="1" numFmtId="2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1" numFmtId="2" xfId="0" applyAlignment="1" applyFill="1" applyFont="1" applyNumberFormat="1">
      <alignment horizontal="center" readingOrder="0"/>
    </xf>
    <xf borderId="0" fillId="4" fontId="1" numFmtId="0" xfId="0" applyFill="1" applyFont="1"/>
    <xf borderId="1" fillId="4" fontId="3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3" numFmtId="2" xfId="0" applyAlignment="1" applyBorder="1" applyFill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2" xfId="0" applyAlignment="1" applyBorder="1" applyFont="1" applyNumberFormat="1">
      <alignment horizontal="center" shrinkToFit="0" vertical="bottom" wrapText="0"/>
    </xf>
    <xf borderId="0" fillId="2" fontId="3" numFmtId="0" xfId="0" applyAlignment="1" applyFill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/>
    </xf>
    <xf borderId="1" fillId="6" fontId="3" numFmtId="0" xfId="0" applyAlignment="1" applyBorder="1" applyFill="1" applyFont="1">
      <alignment horizontal="center" readingOrder="0" shrinkToFit="0" vertical="bottom" wrapText="0"/>
    </xf>
    <xf borderId="2" fillId="6" fontId="3" numFmtId="0" xfId="0" applyAlignment="1" applyBorder="1" applyFill="1" applyFont="1">
      <alignment horizontal="center" readingOrder="0" shrinkToFit="0" vertical="bottom" wrapText="0"/>
    </xf>
    <xf borderId="1" fillId="6" fontId="1" numFmtId="0" xfId="0" applyAlignment="1" applyBorder="1" applyFill="1" applyFont="1">
      <alignment horizontal="center"/>
    </xf>
    <xf borderId="2" fillId="0" fontId="3" numFmtId="2" xfId="0" applyAlignment="1" applyBorder="1" applyFont="1" applyNumberForma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3" numFmtId="2" xfId="0" applyAlignment="1" applyBorder="1" applyFill="1" applyFont="1" applyNumberFormat="1">
      <alignment horizontal="center" readingOrder="0" shrinkToFit="0" vertical="bottom" wrapText="0"/>
    </xf>
    <xf borderId="0" fillId="2" fontId="1" numFmtId="0" xfId="0" applyFill="1" applyFont="1"/>
    <xf borderId="0" fillId="0" fontId="1" numFmtId="164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/>
    </xf>
    <xf borderId="0" fillId="4" fontId="1" numFmtId="164" xfId="0" applyAlignment="1" applyFill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3" fontId="1" numFmtId="164" xfId="0" applyAlignment="1" applyFill="1" applyFont="1" applyNumberFormat="1">
      <alignment horizontal="center"/>
    </xf>
    <xf borderId="0" fillId="0" fontId="1" numFmtId="164" xfId="0" applyFont="1" applyNumberForma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14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2" t="s">
        <v>8</v>
      </c>
      <c r="B5" s="2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2" t="s">
        <v>18</v>
      </c>
      <c r="B10" s="2" t="s">
        <v>19</v>
      </c>
    </row>
    <row r="11">
      <c r="A11" s="3" t="s">
        <v>20</v>
      </c>
      <c r="B11" s="3" t="s">
        <v>21</v>
      </c>
    </row>
    <row r="12">
      <c r="A12" s="4" t="s">
        <v>22</v>
      </c>
      <c r="B12" s="4" t="s">
        <v>23</v>
      </c>
    </row>
    <row r="13">
      <c r="A13" s="5" t="s">
        <v>24</v>
      </c>
      <c r="B13" s="5" t="s">
        <v>25</v>
      </c>
    </row>
    <row r="14">
      <c r="A14" s="5" t="s">
        <v>26</v>
      </c>
      <c r="B14" s="5" t="s">
        <v>27</v>
      </c>
    </row>
    <row r="15">
      <c r="A15" s="5" t="s">
        <v>28</v>
      </c>
      <c r="B15" s="5" t="s">
        <v>29</v>
      </c>
    </row>
    <row r="16">
      <c r="A16" s="5" t="s">
        <v>30</v>
      </c>
      <c r="B16" s="5" t="s">
        <v>31</v>
      </c>
    </row>
    <row r="17">
      <c r="A17" s="5" t="s">
        <v>32</v>
      </c>
      <c r="B17" s="5" t="s">
        <v>33</v>
      </c>
    </row>
    <row r="18">
      <c r="A18" s="5" t="s">
        <v>34</v>
      </c>
      <c r="B18" s="5" t="s">
        <v>35</v>
      </c>
    </row>
    <row r="19">
      <c r="A19" s="1" t="s">
        <v>36</v>
      </c>
      <c r="B19" s="1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5.25"/>
    <col customWidth="1" min="3" max="3" width="18.88"/>
    <col customWidth="1" min="4" max="4" width="21.38"/>
    <col customWidth="1" min="5" max="5" width="22.5"/>
    <col customWidth="1" min="6" max="6" width="16.63"/>
  </cols>
  <sheetData>
    <row r="1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</row>
    <row r="2">
      <c r="A2" s="6" t="s">
        <v>44</v>
      </c>
      <c r="B2" s="6" t="s">
        <v>45</v>
      </c>
      <c r="C2" s="6">
        <v>25.0</v>
      </c>
      <c r="D2" s="6">
        <v>119.0</v>
      </c>
      <c r="E2" s="6">
        <v>219.0</v>
      </c>
      <c r="F2" s="6">
        <v>320.0</v>
      </c>
    </row>
    <row r="3">
      <c r="A3" s="6" t="s">
        <v>46</v>
      </c>
      <c r="B3" s="6" t="s">
        <v>45</v>
      </c>
      <c r="C3" s="6">
        <v>20.0</v>
      </c>
      <c r="D3" s="6">
        <v>87.0</v>
      </c>
      <c r="E3" s="6">
        <v>145.0</v>
      </c>
      <c r="F3" s="6">
        <v>228.0</v>
      </c>
    </row>
    <row r="4">
      <c r="A4" s="6" t="s">
        <v>47</v>
      </c>
      <c r="B4" s="6" t="s">
        <v>45</v>
      </c>
      <c r="C4" s="6">
        <v>150.0</v>
      </c>
      <c r="D4" s="6">
        <v>661.0</v>
      </c>
      <c r="E4" s="6">
        <v>618.0</v>
      </c>
      <c r="F4" s="6">
        <v>924.0</v>
      </c>
    </row>
    <row r="5">
      <c r="A5" s="6" t="s">
        <v>48</v>
      </c>
      <c r="B5" s="6" t="s">
        <v>45</v>
      </c>
      <c r="C5" s="6">
        <v>500.0</v>
      </c>
      <c r="D5" s="6">
        <v>2184.0</v>
      </c>
      <c r="E5" s="6">
        <v>1669.0</v>
      </c>
      <c r="F5" s="6">
        <v>2537.0</v>
      </c>
    </row>
    <row r="6">
      <c r="A6" s="6" t="s">
        <v>49</v>
      </c>
      <c r="B6" s="6" t="s">
        <v>45</v>
      </c>
      <c r="C6" s="6">
        <v>10.0</v>
      </c>
      <c r="D6" s="6">
        <v>48.0</v>
      </c>
      <c r="E6" s="6">
        <v>101.0</v>
      </c>
      <c r="F6" s="6">
        <v>142.0</v>
      </c>
    </row>
    <row r="7">
      <c r="A7" s="6" t="s">
        <v>50</v>
      </c>
      <c r="B7" s="6" t="s">
        <v>45</v>
      </c>
      <c r="C7" s="6">
        <v>15.0</v>
      </c>
      <c r="D7" s="6">
        <v>65.0</v>
      </c>
      <c r="E7" s="6">
        <v>113.0</v>
      </c>
      <c r="F7" s="6">
        <v>174.0</v>
      </c>
    </row>
    <row r="8">
      <c r="A8" s="6" t="s">
        <v>51</v>
      </c>
      <c r="B8" s="6" t="s">
        <v>45</v>
      </c>
      <c r="C8" s="6">
        <v>30.0</v>
      </c>
      <c r="D8" s="6">
        <v>136.0</v>
      </c>
      <c r="E8" s="6">
        <v>206.0</v>
      </c>
      <c r="F8" s="6">
        <v>317.0</v>
      </c>
    </row>
    <row r="9">
      <c r="A9" s="6" t="s">
        <v>52</v>
      </c>
      <c r="B9" s="6" t="s">
        <v>53</v>
      </c>
      <c r="C9" s="6">
        <v>300.0</v>
      </c>
      <c r="D9" s="6">
        <v>1373.0</v>
      </c>
      <c r="E9" s="6">
        <v>867.0</v>
      </c>
      <c r="F9" s="6">
        <v>1585.0</v>
      </c>
    </row>
    <row r="10">
      <c r="A10" s="6" t="s">
        <v>54</v>
      </c>
      <c r="B10" s="6" t="s">
        <v>45</v>
      </c>
      <c r="C10" s="6">
        <v>50.0</v>
      </c>
      <c r="D10" s="6">
        <v>231.0</v>
      </c>
      <c r="E10" s="6">
        <v>326.0</v>
      </c>
      <c r="F10" s="6">
        <v>499.0</v>
      </c>
    </row>
    <row r="11">
      <c r="A11" s="6" t="s">
        <v>55</v>
      </c>
      <c r="B11" s="6" t="s">
        <v>53</v>
      </c>
      <c r="C11" s="6">
        <v>15.0</v>
      </c>
      <c r="D11" s="6">
        <v>66.0</v>
      </c>
      <c r="E11" s="6">
        <v>68.0</v>
      </c>
      <c r="F11" s="6">
        <v>92.0</v>
      </c>
    </row>
    <row r="12">
      <c r="A12" s="6" t="s">
        <v>56</v>
      </c>
      <c r="B12" s="6" t="s">
        <v>45</v>
      </c>
      <c r="C12" s="6">
        <v>200.0</v>
      </c>
      <c r="D12" s="6">
        <v>872.0</v>
      </c>
      <c r="E12" s="6">
        <v>717.0</v>
      </c>
      <c r="F12" s="6">
        <v>1052.0</v>
      </c>
    </row>
    <row r="13">
      <c r="A13" s="6" t="s">
        <v>57</v>
      </c>
      <c r="B13" s="6" t="s">
        <v>45</v>
      </c>
      <c r="C13" s="6">
        <v>500.0</v>
      </c>
      <c r="D13" s="6">
        <v>2294.0</v>
      </c>
      <c r="E13" s="6">
        <v>1660.0</v>
      </c>
      <c r="F13" s="6">
        <v>2571.0</v>
      </c>
    </row>
    <row r="14">
      <c r="A14" s="6" t="s">
        <v>58</v>
      </c>
      <c r="B14" s="6" t="s">
        <v>45</v>
      </c>
      <c r="C14" s="6">
        <v>40.0</v>
      </c>
      <c r="D14" s="6">
        <v>154.0</v>
      </c>
      <c r="E14" s="6">
        <v>300.0</v>
      </c>
      <c r="F14" s="6">
        <v>421.0</v>
      </c>
    </row>
    <row r="15">
      <c r="A15" s="6" t="s">
        <v>59</v>
      </c>
      <c r="B15" s="6" t="s">
        <v>45</v>
      </c>
      <c r="C15" s="6">
        <v>15.0</v>
      </c>
      <c r="D15" s="6">
        <v>70.0</v>
      </c>
      <c r="E15" s="6">
        <v>121.0</v>
      </c>
      <c r="F15" s="6">
        <v>186.0</v>
      </c>
    </row>
    <row r="16">
      <c r="A16" s="6" t="s">
        <v>60</v>
      </c>
      <c r="B16" s="6" t="s">
        <v>45</v>
      </c>
      <c r="C16" s="6">
        <v>15.0</v>
      </c>
      <c r="D16" s="6">
        <v>74.0</v>
      </c>
      <c r="E16" s="6">
        <v>109.0</v>
      </c>
      <c r="F16" s="6">
        <v>179.0</v>
      </c>
    </row>
    <row r="17">
      <c r="A17" s="6" t="s">
        <v>61</v>
      </c>
      <c r="B17" s="6" t="s">
        <v>53</v>
      </c>
      <c r="C17" s="6">
        <v>100.0</v>
      </c>
      <c r="D17" s="6">
        <v>424.0</v>
      </c>
      <c r="E17" s="6">
        <v>282.0</v>
      </c>
      <c r="F17" s="6">
        <v>504.0</v>
      </c>
    </row>
    <row r="18">
      <c r="A18" s="6" t="s">
        <v>62</v>
      </c>
      <c r="B18" s="6" t="s">
        <v>45</v>
      </c>
      <c r="C18" s="6">
        <v>75.0</v>
      </c>
      <c r="D18" s="6">
        <v>328.0</v>
      </c>
      <c r="E18" s="6">
        <v>365.0</v>
      </c>
      <c r="F18" s="6">
        <v>591.0</v>
      </c>
    </row>
    <row r="19">
      <c r="A19" s="6" t="s">
        <v>63</v>
      </c>
      <c r="B19" s="6" t="s">
        <v>45</v>
      </c>
      <c r="C19" s="6">
        <v>1000.0</v>
      </c>
      <c r="D19" s="6">
        <v>4481.0</v>
      </c>
      <c r="E19" s="6">
        <v>3366.0</v>
      </c>
      <c r="F19" s="6">
        <v>5149.0</v>
      </c>
    </row>
    <row r="20">
      <c r="A20" s="6" t="s">
        <v>64</v>
      </c>
      <c r="B20" s="6" t="s">
        <v>45</v>
      </c>
      <c r="C20" s="6">
        <v>1000.0</v>
      </c>
      <c r="D20" s="6">
        <v>4493.0</v>
      </c>
      <c r="E20" s="6">
        <v>3319.0</v>
      </c>
      <c r="F20" s="6">
        <v>5090.0</v>
      </c>
    </row>
    <row r="21">
      <c r="A21" s="6" t="s">
        <v>65</v>
      </c>
      <c r="B21" s="6" t="s">
        <v>53</v>
      </c>
      <c r="C21" s="6">
        <v>30.0</v>
      </c>
      <c r="D21" s="6">
        <v>126.0</v>
      </c>
      <c r="E21" s="6">
        <v>115.0</v>
      </c>
      <c r="F21" s="6">
        <v>168.0</v>
      </c>
    </row>
    <row r="22">
      <c r="A22" s="6" t="s">
        <v>66</v>
      </c>
      <c r="B22" s="6" t="s">
        <v>45</v>
      </c>
      <c r="C22" s="6">
        <v>40.0</v>
      </c>
      <c r="D22" s="6">
        <v>161.0</v>
      </c>
      <c r="E22" s="6">
        <v>286.0</v>
      </c>
      <c r="F22" s="6">
        <v>413.0</v>
      </c>
    </row>
    <row r="23">
      <c r="A23" s="6" t="s">
        <v>67</v>
      </c>
      <c r="B23" s="6" t="s">
        <v>45</v>
      </c>
      <c r="C23" s="6">
        <v>250.0</v>
      </c>
      <c r="D23" s="6">
        <v>1101.0</v>
      </c>
      <c r="E23" s="6">
        <v>826.0</v>
      </c>
      <c r="F23" s="6">
        <v>1252.0</v>
      </c>
    </row>
    <row r="24">
      <c r="A24" s="6" t="s">
        <v>68</v>
      </c>
      <c r="B24" s="6" t="s">
        <v>45</v>
      </c>
      <c r="C24" s="6">
        <v>200.0</v>
      </c>
      <c r="D24" s="6">
        <v>878.0</v>
      </c>
      <c r="E24" s="6">
        <v>696.0</v>
      </c>
      <c r="F24" s="6">
        <v>1049.0</v>
      </c>
    </row>
    <row r="25">
      <c r="A25" s="6" t="s">
        <v>69</v>
      </c>
      <c r="B25" s="6" t="s">
        <v>53</v>
      </c>
      <c r="C25" s="6">
        <v>50.0</v>
      </c>
      <c r="D25" s="6">
        <v>224.0</v>
      </c>
      <c r="E25" s="6">
        <v>137.0</v>
      </c>
      <c r="F25" s="6">
        <v>266.0</v>
      </c>
    </row>
    <row r="26">
      <c r="A26" s="6" t="s">
        <v>70</v>
      </c>
      <c r="B26" s="6" t="s">
        <v>45</v>
      </c>
      <c r="C26" s="6">
        <v>250.0</v>
      </c>
      <c r="D26" s="6">
        <v>1123.0</v>
      </c>
      <c r="E26" s="6">
        <v>789.0</v>
      </c>
      <c r="F26" s="6">
        <v>1253.0</v>
      </c>
    </row>
    <row r="27">
      <c r="A27" s="6" t="s">
        <v>71</v>
      </c>
      <c r="B27" s="6" t="s">
        <v>45</v>
      </c>
      <c r="C27" s="6">
        <v>25.0</v>
      </c>
      <c r="D27" s="6">
        <v>99.0</v>
      </c>
      <c r="E27" s="6">
        <v>208.0</v>
      </c>
      <c r="F27" s="6">
        <v>292.0</v>
      </c>
    </row>
    <row r="28">
      <c r="A28" s="6" t="s">
        <v>72</v>
      </c>
      <c r="B28" s="6" t="s">
        <v>45</v>
      </c>
      <c r="C28" s="6">
        <v>75.0</v>
      </c>
      <c r="D28" s="6">
        <v>348.0</v>
      </c>
      <c r="E28" s="6">
        <v>454.0</v>
      </c>
      <c r="F28" s="6">
        <v>681.0</v>
      </c>
    </row>
    <row r="29">
      <c r="A29" s="6" t="s">
        <v>73</v>
      </c>
      <c r="B29" s="6" t="s">
        <v>45</v>
      </c>
      <c r="C29" s="6">
        <v>20.0</v>
      </c>
      <c r="D29" s="6">
        <v>78.0</v>
      </c>
      <c r="E29" s="6">
        <v>172.0</v>
      </c>
      <c r="F29" s="6">
        <v>242.0</v>
      </c>
    </row>
    <row r="30">
      <c r="A30" s="6" t="s">
        <v>74</v>
      </c>
      <c r="B30" s="6" t="s">
        <v>45</v>
      </c>
      <c r="C30" s="6">
        <v>75.0</v>
      </c>
      <c r="D30" s="6">
        <v>368.0</v>
      </c>
      <c r="E30" s="6">
        <v>410.0</v>
      </c>
      <c r="F30" s="6">
        <v>661.0</v>
      </c>
    </row>
    <row r="31">
      <c r="A31" s="6" t="s">
        <v>75</v>
      </c>
      <c r="B31" s="6" t="s">
        <v>45</v>
      </c>
      <c r="C31" s="6">
        <v>40.0</v>
      </c>
      <c r="D31" s="6">
        <v>163.0</v>
      </c>
      <c r="E31" s="6">
        <v>272.0</v>
      </c>
      <c r="F31" s="6">
        <v>400.0</v>
      </c>
    </row>
    <row r="32">
      <c r="A32" s="6" t="s">
        <v>76</v>
      </c>
      <c r="B32" s="6" t="s">
        <v>45</v>
      </c>
      <c r="C32" s="6">
        <v>50.0</v>
      </c>
      <c r="D32" s="6">
        <v>232.0</v>
      </c>
      <c r="E32" s="6">
        <v>317.0</v>
      </c>
      <c r="F32" s="6">
        <v>490.0</v>
      </c>
    </row>
    <row r="33">
      <c r="A33" s="6" t="s">
        <v>77</v>
      </c>
      <c r="B33" s="6" t="s">
        <v>45</v>
      </c>
      <c r="C33" s="6">
        <v>250.0</v>
      </c>
      <c r="D33" s="6">
        <v>1137.0</v>
      </c>
      <c r="E33" s="6">
        <v>810.0</v>
      </c>
      <c r="F33" s="6">
        <v>1276.0</v>
      </c>
    </row>
    <row r="34">
      <c r="A34" s="6" t="s">
        <v>78</v>
      </c>
      <c r="B34" s="6" t="s">
        <v>45</v>
      </c>
      <c r="C34" s="6">
        <v>500.0</v>
      </c>
      <c r="D34" s="6">
        <v>2194.0</v>
      </c>
      <c r="E34" s="6">
        <v>1767.0</v>
      </c>
      <c r="F34" s="6">
        <v>2590.0</v>
      </c>
    </row>
    <row r="35">
      <c r="A35" s="6" t="s">
        <v>79</v>
      </c>
      <c r="B35" s="6" t="s">
        <v>45</v>
      </c>
      <c r="C35" s="6">
        <v>1000.0</v>
      </c>
      <c r="D35" s="6">
        <v>4428.0</v>
      </c>
      <c r="E35" s="6">
        <v>3410.0</v>
      </c>
      <c r="F35" s="6">
        <v>5128.0</v>
      </c>
    </row>
    <row r="36">
      <c r="A36" s="6" t="s">
        <v>80</v>
      </c>
      <c r="B36" s="6" t="s">
        <v>45</v>
      </c>
      <c r="C36" s="6">
        <v>300.0</v>
      </c>
      <c r="D36" s="6">
        <v>1330.0</v>
      </c>
      <c r="E36" s="6">
        <v>1029.0</v>
      </c>
      <c r="F36" s="6">
        <v>1534.0</v>
      </c>
    </row>
    <row r="37">
      <c r="A37" s="6" t="s">
        <v>81</v>
      </c>
      <c r="B37" s="6" t="s">
        <v>45</v>
      </c>
      <c r="C37" s="6">
        <v>750.0</v>
      </c>
      <c r="D37" s="6">
        <v>3294.0</v>
      </c>
      <c r="E37" s="6">
        <v>2449.0</v>
      </c>
      <c r="F37" s="6">
        <v>3767.0</v>
      </c>
    </row>
    <row r="38">
      <c r="A38" s="6" t="s">
        <v>82</v>
      </c>
      <c r="B38" s="6" t="s">
        <v>45</v>
      </c>
      <c r="C38" s="6">
        <v>500.0</v>
      </c>
      <c r="D38" s="6">
        <v>2161.0</v>
      </c>
      <c r="E38" s="6">
        <v>1729.0</v>
      </c>
      <c r="F38" s="6">
        <v>2536.0</v>
      </c>
    </row>
    <row r="39">
      <c r="A39" s="6" t="s">
        <v>83</v>
      </c>
      <c r="B39" s="6" t="s">
        <v>45</v>
      </c>
      <c r="C39" s="6">
        <v>1000.0</v>
      </c>
      <c r="D39" s="6">
        <v>4508.0</v>
      </c>
      <c r="E39" s="6">
        <v>3400.0</v>
      </c>
      <c r="F39" s="6">
        <v>5151.0</v>
      </c>
    </row>
    <row r="40">
      <c r="A40" s="6" t="s">
        <v>84</v>
      </c>
      <c r="B40" s="6" t="s">
        <v>45</v>
      </c>
      <c r="C40" s="6">
        <v>250.0</v>
      </c>
      <c r="D40" s="6">
        <v>1130.0</v>
      </c>
      <c r="E40" s="6">
        <v>806.0</v>
      </c>
      <c r="F40" s="6">
        <v>1265.0</v>
      </c>
    </row>
    <row r="41">
      <c r="A41" s="6" t="s">
        <v>85</v>
      </c>
      <c r="B41" s="6" t="s">
        <v>53</v>
      </c>
      <c r="C41" s="6">
        <v>20.0</v>
      </c>
      <c r="D41" s="6">
        <v>93.0</v>
      </c>
      <c r="E41" s="6">
        <v>91.0</v>
      </c>
      <c r="F41" s="6">
        <v>124.0</v>
      </c>
    </row>
    <row r="42">
      <c r="A42" s="6" t="s">
        <v>86</v>
      </c>
      <c r="B42" s="6" t="s">
        <v>53</v>
      </c>
      <c r="C42" s="6">
        <v>500.0</v>
      </c>
      <c r="D42" s="6">
        <v>2137.0</v>
      </c>
      <c r="E42" s="6">
        <v>1152.0</v>
      </c>
      <c r="F42" s="6">
        <v>2470.0</v>
      </c>
    </row>
    <row r="43">
      <c r="A43" s="6" t="s">
        <v>87</v>
      </c>
      <c r="B43" s="6" t="s">
        <v>45</v>
      </c>
      <c r="C43" s="6">
        <v>25.0</v>
      </c>
      <c r="D43" s="6">
        <v>112.0</v>
      </c>
      <c r="E43" s="6">
        <v>182.0</v>
      </c>
      <c r="F43" s="6">
        <v>287.0</v>
      </c>
    </row>
    <row r="44">
      <c r="A44" s="6" t="s">
        <v>88</v>
      </c>
      <c r="B44" s="6" t="s">
        <v>45</v>
      </c>
      <c r="C44" s="6">
        <v>50.0</v>
      </c>
      <c r="D44" s="6">
        <v>222.0</v>
      </c>
      <c r="E44" s="6">
        <v>337.0</v>
      </c>
      <c r="F44" s="6">
        <v>504.0</v>
      </c>
    </row>
    <row r="45">
      <c r="A45" s="6" t="s">
        <v>89</v>
      </c>
      <c r="B45" s="6" t="s">
        <v>45</v>
      </c>
      <c r="C45" s="6">
        <v>150.0</v>
      </c>
      <c r="D45" s="6">
        <v>684.0</v>
      </c>
      <c r="E45" s="6">
        <v>635.0</v>
      </c>
      <c r="F45" s="6">
        <v>955.0</v>
      </c>
    </row>
    <row r="46">
      <c r="A46" s="6" t="s">
        <v>90</v>
      </c>
      <c r="B46" s="6" t="s">
        <v>45</v>
      </c>
      <c r="C46" s="6">
        <v>750.0</v>
      </c>
      <c r="D46" s="6">
        <v>3367.0</v>
      </c>
      <c r="E46" s="6">
        <v>2502.0</v>
      </c>
      <c r="F46" s="6">
        <v>3830.0</v>
      </c>
    </row>
    <row r="47">
      <c r="A47" s="6" t="s">
        <v>91</v>
      </c>
      <c r="B47" s="6" t="s">
        <v>45</v>
      </c>
      <c r="C47" s="6">
        <v>30.0</v>
      </c>
      <c r="D47" s="6">
        <v>135.0</v>
      </c>
      <c r="E47" s="6">
        <v>214.0</v>
      </c>
      <c r="F47" s="6">
        <v>332.0</v>
      </c>
    </row>
    <row r="48">
      <c r="A48" s="6" t="s">
        <v>92</v>
      </c>
      <c r="B48" s="6" t="s">
        <v>45</v>
      </c>
      <c r="C48" s="6">
        <v>100.0</v>
      </c>
      <c r="D48" s="6">
        <v>422.0</v>
      </c>
      <c r="E48" s="6">
        <v>473.0</v>
      </c>
      <c r="F48" s="6">
        <v>723.0</v>
      </c>
    </row>
    <row r="49">
      <c r="A49" s="6" t="s">
        <v>93</v>
      </c>
      <c r="B49" s="6" t="s">
        <v>53</v>
      </c>
      <c r="C49" s="6">
        <v>10.0</v>
      </c>
      <c r="D49" s="6">
        <v>53.0</v>
      </c>
      <c r="E49" s="6">
        <v>51.0</v>
      </c>
      <c r="F49" s="6">
        <v>77.0</v>
      </c>
    </row>
    <row r="50">
      <c r="A50" s="6" t="s">
        <v>94</v>
      </c>
      <c r="B50" s="6" t="s">
        <v>53</v>
      </c>
      <c r="C50" s="6">
        <v>150.0</v>
      </c>
      <c r="D50" s="6">
        <v>658.0</v>
      </c>
      <c r="E50" s="6">
        <v>426.0</v>
      </c>
      <c r="F50" s="6">
        <v>765.0</v>
      </c>
    </row>
    <row r="51">
      <c r="A51" s="6" t="s">
        <v>95</v>
      </c>
      <c r="B51" s="6" t="s">
        <v>45</v>
      </c>
      <c r="C51" s="6">
        <v>20.0</v>
      </c>
      <c r="D51" s="6">
        <v>83.0</v>
      </c>
      <c r="E51" s="6">
        <v>155.0</v>
      </c>
      <c r="F51" s="6">
        <v>229.0</v>
      </c>
    </row>
    <row r="52">
      <c r="A52" s="6" t="s">
        <v>96</v>
      </c>
      <c r="B52" s="6" t="s">
        <v>45</v>
      </c>
      <c r="C52" s="6">
        <v>30.0</v>
      </c>
      <c r="D52" s="6">
        <v>136.0</v>
      </c>
      <c r="E52" s="6">
        <v>237.0</v>
      </c>
      <c r="F52" s="6">
        <v>344.0</v>
      </c>
    </row>
    <row r="53">
      <c r="A53" s="6" t="s">
        <v>97</v>
      </c>
      <c r="B53" s="6" t="s">
        <v>45</v>
      </c>
      <c r="C53" s="6">
        <v>125.0</v>
      </c>
      <c r="D53" s="6">
        <v>534.0</v>
      </c>
      <c r="E53" s="6">
        <v>532.0</v>
      </c>
      <c r="F53" s="6">
        <v>827.0</v>
      </c>
    </row>
    <row r="54">
      <c r="A54" s="6" t="s">
        <v>98</v>
      </c>
      <c r="B54" s="6" t="s">
        <v>45</v>
      </c>
      <c r="C54" s="6">
        <v>100.0</v>
      </c>
      <c r="D54" s="6">
        <v>445.0</v>
      </c>
      <c r="E54" s="6">
        <v>470.0</v>
      </c>
      <c r="F54" s="6">
        <v>742.0</v>
      </c>
    </row>
    <row r="55">
      <c r="A55" s="6" t="s">
        <v>99</v>
      </c>
      <c r="B55" s="6" t="s">
        <v>45</v>
      </c>
      <c r="C55" s="6">
        <v>400.0</v>
      </c>
      <c r="D55" s="6">
        <v>1828.0</v>
      </c>
      <c r="E55" s="6">
        <v>1304.0</v>
      </c>
      <c r="F55" s="6">
        <v>2044.0</v>
      </c>
    </row>
    <row r="56">
      <c r="A56" s="6" t="s">
        <v>100</v>
      </c>
      <c r="B56" s="6" t="s">
        <v>53</v>
      </c>
      <c r="C56" s="6">
        <v>100.0</v>
      </c>
      <c r="D56" s="6">
        <v>481.0</v>
      </c>
      <c r="E56" s="6">
        <v>311.0</v>
      </c>
      <c r="F56" s="6">
        <v>555.0</v>
      </c>
    </row>
    <row r="57">
      <c r="A57" s="6" t="s">
        <v>101</v>
      </c>
      <c r="B57" s="6" t="s">
        <v>45</v>
      </c>
      <c r="C57" s="6">
        <v>100.0</v>
      </c>
      <c r="D57" s="6">
        <v>428.0</v>
      </c>
      <c r="E57" s="6">
        <v>444.0</v>
      </c>
      <c r="F57" s="6">
        <v>711.0</v>
      </c>
    </row>
    <row r="58">
      <c r="A58" s="6" t="s">
        <v>102</v>
      </c>
      <c r="B58" s="6" t="s">
        <v>45</v>
      </c>
      <c r="C58" s="6">
        <v>125.0</v>
      </c>
      <c r="D58" s="6">
        <v>563.0</v>
      </c>
      <c r="E58" s="6">
        <v>554.0</v>
      </c>
      <c r="F58" s="6">
        <v>859.0</v>
      </c>
    </row>
    <row r="59">
      <c r="A59" s="6" t="s">
        <v>103</v>
      </c>
      <c r="B59" s="6" t="s">
        <v>45</v>
      </c>
      <c r="C59" s="6">
        <v>20.0</v>
      </c>
      <c r="D59" s="6">
        <v>86.0</v>
      </c>
      <c r="E59" s="6">
        <v>165.0</v>
      </c>
      <c r="F59" s="6">
        <v>243.0</v>
      </c>
    </row>
    <row r="60">
      <c r="A60" s="6" t="s">
        <v>104</v>
      </c>
      <c r="B60" s="6" t="s">
        <v>45</v>
      </c>
      <c r="C60" s="6">
        <v>250.0</v>
      </c>
      <c r="D60" s="6">
        <v>1129.0</v>
      </c>
      <c r="E60" s="6">
        <v>805.0</v>
      </c>
      <c r="F60" s="6">
        <v>1264.0</v>
      </c>
    </row>
    <row r="61">
      <c r="A61" s="6" t="s">
        <v>105</v>
      </c>
      <c r="B61" s="6" t="s">
        <v>53</v>
      </c>
      <c r="C61" s="6">
        <v>25.0</v>
      </c>
      <c r="D61" s="6">
        <v>114.0</v>
      </c>
      <c r="E61" s="6">
        <v>124.0</v>
      </c>
      <c r="F61" s="6">
        <v>153.0</v>
      </c>
    </row>
    <row r="62">
      <c r="A62" s="6" t="s">
        <v>106</v>
      </c>
      <c r="B62" s="6" t="s">
        <v>45</v>
      </c>
      <c r="C62" s="6">
        <v>30.0</v>
      </c>
      <c r="D62" s="6">
        <v>132.0</v>
      </c>
      <c r="E62" s="6">
        <v>210.0</v>
      </c>
      <c r="F62" s="6">
        <v>320.0</v>
      </c>
    </row>
    <row r="63">
      <c r="A63" s="6" t="s">
        <v>107</v>
      </c>
      <c r="B63" s="6" t="s">
        <v>45</v>
      </c>
      <c r="C63" s="6">
        <v>300.0</v>
      </c>
      <c r="D63" s="6">
        <v>1283.0</v>
      </c>
      <c r="E63" s="6">
        <v>1016.0</v>
      </c>
      <c r="F63" s="6">
        <v>1503.0</v>
      </c>
    </row>
    <row r="64">
      <c r="A64" s="6" t="s">
        <v>108</v>
      </c>
      <c r="B64" s="6" t="s">
        <v>45</v>
      </c>
      <c r="C64" s="6">
        <v>40.0</v>
      </c>
      <c r="D64" s="6">
        <v>191.0</v>
      </c>
      <c r="E64" s="6">
        <v>285.0</v>
      </c>
      <c r="F64" s="6">
        <v>429.0</v>
      </c>
    </row>
    <row r="65">
      <c r="A65" s="6" t="s">
        <v>109</v>
      </c>
      <c r="B65" s="6" t="s">
        <v>53</v>
      </c>
      <c r="C65" s="6">
        <v>20.0</v>
      </c>
      <c r="D65" s="6">
        <v>84.0</v>
      </c>
      <c r="E65" s="6">
        <v>97.0</v>
      </c>
      <c r="F65" s="6">
        <v>118.0</v>
      </c>
    </row>
    <row r="66">
      <c r="A66" s="6" t="s">
        <v>110</v>
      </c>
      <c r="B66" s="6" t="s">
        <v>53</v>
      </c>
      <c r="C66" s="6">
        <v>208.0</v>
      </c>
      <c r="D66" s="6">
        <v>899.0</v>
      </c>
      <c r="E66" s="6">
        <v>562.0</v>
      </c>
      <c r="F66" s="6">
        <v>1035.0</v>
      </c>
    </row>
    <row r="67">
      <c r="A67" s="6" t="s">
        <v>111</v>
      </c>
      <c r="B67" s="6" t="s">
        <v>45</v>
      </c>
      <c r="C67" s="6">
        <v>10.0</v>
      </c>
      <c r="D67" s="6">
        <v>50.0</v>
      </c>
      <c r="E67" s="6">
        <v>98.0</v>
      </c>
      <c r="F67" s="6">
        <v>146.0</v>
      </c>
    </row>
    <row r="68">
      <c r="A68" s="6" t="s">
        <v>112</v>
      </c>
      <c r="B68" s="6" t="s">
        <v>45</v>
      </c>
      <c r="C68" s="6">
        <v>200.0</v>
      </c>
      <c r="D68" s="6">
        <v>854.0</v>
      </c>
      <c r="E68" s="6">
        <v>674.0</v>
      </c>
      <c r="F68" s="6">
        <v>1012.0</v>
      </c>
    </row>
    <row r="69">
      <c r="A69" s="6" t="s">
        <v>113</v>
      </c>
      <c r="B69" s="6" t="s">
        <v>45</v>
      </c>
      <c r="C69" s="6">
        <v>400.0</v>
      </c>
      <c r="D69" s="6">
        <v>1720.0</v>
      </c>
      <c r="E69" s="6">
        <v>1299.0</v>
      </c>
      <c r="F69" s="6">
        <v>1969.0</v>
      </c>
    </row>
    <row r="70">
      <c r="A70" s="6" t="s">
        <v>114</v>
      </c>
      <c r="B70" s="6" t="s">
        <v>53</v>
      </c>
      <c r="C70" s="6">
        <v>40.0</v>
      </c>
      <c r="D70" s="6">
        <v>198.0</v>
      </c>
      <c r="E70" s="6">
        <v>146.0</v>
      </c>
      <c r="F70" s="6">
        <v>239.0</v>
      </c>
    </row>
    <row r="71">
      <c r="A71" s="6" t="s">
        <v>115</v>
      </c>
      <c r="B71" s="6" t="s">
        <v>45</v>
      </c>
      <c r="C71" s="6">
        <v>25.0</v>
      </c>
      <c r="D71" s="6">
        <v>105.0</v>
      </c>
      <c r="E71" s="6">
        <v>196.0</v>
      </c>
      <c r="F71" s="6">
        <v>291.0</v>
      </c>
    </row>
    <row r="72">
      <c r="A72" s="6" t="s">
        <v>116</v>
      </c>
      <c r="B72" s="6" t="s">
        <v>45</v>
      </c>
      <c r="C72" s="6">
        <v>125.0</v>
      </c>
      <c r="D72" s="6">
        <v>566.0</v>
      </c>
      <c r="E72" s="6">
        <v>586.0</v>
      </c>
      <c r="F72" s="6">
        <v>880.0</v>
      </c>
    </row>
    <row r="73">
      <c r="A73" s="6" t="s">
        <v>117</v>
      </c>
      <c r="B73" s="6" t="s">
        <v>45</v>
      </c>
      <c r="C73" s="6">
        <v>100.0</v>
      </c>
      <c r="D73" s="6">
        <v>451.0</v>
      </c>
      <c r="E73" s="6">
        <v>544.0</v>
      </c>
      <c r="F73" s="6">
        <v>799.0</v>
      </c>
    </row>
    <row r="74">
      <c r="A74" s="6" t="s">
        <v>118</v>
      </c>
      <c r="B74" s="6" t="s">
        <v>45</v>
      </c>
      <c r="C74" s="6">
        <v>300.0</v>
      </c>
      <c r="D74" s="6">
        <v>1319.0</v>
      </c>
      <c r="E74" s="6">
        <v>993.0</v>
      </c>
      <c r="F74" s="6">
        <v>1521.0</v>
      </c>
    </row>
    <row r="75">
      <c r="A75" s="6" t="s">
        <v>119</v>
      </c>
      <c r="B75" s="6" t="s">
        <v>45</v>
      </c>
      <c r="C75" s="6">
        <v>75.0</v>
      </c>
      <c r="D75" s="6">
        <v>318.0</v>
      </c>
      <c r="E75" s="6">
        <v>435.0</v>
      </c>
      <c r="F75" s="6">
        <v>646.0</v>
      </c>
    </row>
    <row r="76">
      <c r="A76" s="6" t="s">
        <v>120</v>
      </c>
      <c r="B76" s="6" t="s">
        <v>45</v>
      </c>
      <c r="C76" s="6">
        <v>75.0</v>
      </c>
      <c r="D76" s="6">
        <v>335.0</v>
      </c>
      <c r="E76" s="6">
        <v>425.0</v>
      </c>
      <c r="F76" s="6">
        <v>651.0</v>
      </c>
    </row>
    <row r="77">
      <c r="A77" s="6" t="s">
        <v>121</v>
      </c>
      <c r="B77" s="6" t="s">
        <v>45</v>
      </c>
      <c r="C77" s="6">
        <v>125.0</v>
      </c>
      <c r="D77" s="6">
        <v>530.0</v>
      </c>
      <c r="E77" s="6">
        <v>592.0</v>
      </c>
      <c r="F77" s="6">
        <v>853.0</v>
      </c>
    </row>
    <row r="78">
      <c r="A78" s="6" t="s">
        <v>122</v>
      </c>
      <c r="B78" s="6" t="s">
        <v>45</v>
      </c>
      <c r="C78" s="6">
        <v>40.0</v>
      </c>
      <c r="D78" s="6">
        <v>201.0</v>
      </c>
      <c r="E78" s="6">
        <v>295.0</v>
      </c>
      <c r="F78" s="6">
        <v>457.0</v>
      </c>
    </row>
    <row r="79">
      <c r="A79" s="6" t="s">
        <v>123</v>
      </c>
      <c r="B79" s="6" t="s">
        <v>53</v>
      </c>
      <c r="C79" s="6">
        <v>75.0</v>
      </c>
      <c r="D79" s="6">
        <v>342.0</v>
      </c>
      <c r="E79" s="6">
        <v>208.0</v>
      </c>
      <c r="F79" s="6">
        <v>404.0</v>
      </c>
    </row>
    <row r="80">
      <c r="A80" s="6" t="s">
        <v>124</v>
      </c>
      <c r="B80" s="6" t="s">
        <v>45</v>
      </c>
      <c r="C80" s="6">
        <v>10.0</v>
      </c>
      <c r="D80" s="6">
        <v>39.0</v>
      </c>
      <c r="E80" s="6">
        <v>106.0</v>
      </c>
      <c r="F80" s="6">
        <v>140.0</v>
      </c>
    </row>
    <row r="81">
      <c r="A81" s="6" t="s">
        <v>125</v>
      </c>
      <c r="B81" s="6" t="s">
        <v>45</v>
      </c>
      <c r="C81" s="6">
        <v>10.0</v>
      </c>
      <c r="D81" s="6">
        <v>52.0</v>
      </c>
      <c r="E81" s="6">
        <v>93.0</v>
      </c>
      <c r="F81" s="6">
        <v>142.0</v>
      </c>
    </row>
    <row r="82">
      <c r="A82" s="6" t="s">
        <v>126</v>
      </c>
      <c r="B82" s="6" t="s">
        <v>53</v>
      </c>
      <c r="C82" s="6">
        <v>30.0</v>
      </c>
      <c r="D82" s="6">
        <v>132.0</v>
      </c>
      <c r="E82" s="6">
        <v>110.0</v>
      </c>
      <c r="F82" s="6">
        <v>168.0</v>
      </c>
    </row>
    <row r="83">
      <c r="A83" s="6" t="s">
        <v>127</v>
      </c>
      <c r="B83" s="6" t="s">
        <v>45</v>
      </c>
      <c r="C83" s="6">
        <v>750.0</v>
      </c>
      <c r="D83" s="6">
        <v>3282.0</v>
      </c>
      <c r="E83" s="6">
        <v>2571.0</v>
      </c>
      <c r="F83" s="6">
        <v>3849.0</v>
      </c>
    </row>
    <row r="84">
      <c r="A84" s="6" t="s">
        <v>128</v>
      </c>
      <c r="B84" s="6" t="s">
        <v>45</v>
      </c>
      <c r="C84" s="6">
        <v>200.0</v>
      </c>
      <c r="D84" s="6">
        <v>891.0</v>
      </c>
      <c r="E84" s="6">
        <v>671.0</v>
      </c>
      <c r="F84" s="6">
        <v>1045.0</v>
      </c>
    </row>
    <row r="85">
      <c r="A85" s="6" t="s">
        <v>129</v>
      </c>
      <c r="B85" s="6" t="s">
        <v>45</v>
      </c>
      <c r="C85" s="6">
        <v>750.0</v>
      </c>
      <c r="D85" s="6">
        <v>3325.0</v>
      </c>
      <c r="E85" s="6">
        <v>2431.0</v>
      </c>
      <c r="F85" s="6">
        <v>3776.0</v>
      </c>
    </row>
    <row r="86">
      <c r="A86" s="6" t="s">
        <v>130</v>
      </c>
      <c r="B86" s="6" t="s">
        <v>45</v>
      </c>
      <c r="C86" s="6">
        <v>15.0</v>
      </c>
      <c r="D86" s="6">
        <v>86.0</v>
      </c>
      <c r="E86" s="6">
        <v>97.0</v>
      </c>
      <c r="F86" s="6">
        <v>181.0</v>
      </c>
    </row>
    <row r="87">
      <c r="A87" s="6" t="s">
        <v>131</v>
      </c>
      <c r="B87" s="6" t="s">
        <v>45</v>
      </c>
      <c r="C87" s="6">
        <v>20.0</v>
      </c>
      <c r="D87" s="6">
        <v>84.0</v>
      </c>
      <c r="E87" s="6">
        <v>164.0</v>
      </c>
      <c r="F87" s="6">
        <v>237.0</v>
      </c>
    </row>
    <row r="88">
      <c r="A88" s="6" t="s">
        <v>132</v>
      </c>
      <c r="B88" s="6" t="s">
        <v>53</v>
      </c>
      <c r="C88" s="6">
        <v>208.0</v>
      </c>
      <c r="D88" s="6">
        <v>921.0</v>
      </c>
      <c r="E88" s="6">
        <v>548.0</v>
      </c>
      <c r="F88" s="6">
        <v>1068.0</v>
      </c>
    </row>
    <row r="89">
      <c r="A89" s="6" t="s">
        <v>133</v>
      </c>
      <c r="B89" s="6" t="s">
        <v>45</v>
      </c>
      <c r="C89" s="6">
        <v>10.0</v>
      </c>
      <c r="D89" s="6">
        <v>49.0</v>
      </c>
      <c r="E89" s="6">
        <v>103.0</v>
      </c>
      <c r="F89" s="6">
        <v>148.0</v>
      </c>
    </row>
    <row r="90">
      <c r="A90" s="6" t="s">
        <v>134</v>
      </c>
      <c r="B90" s="6" t="s">
        <v>45</v>
      </c>
      <c r="C90" s="6">
        <v>25.0</v>
      </c>
      <c r="D90" s="6">
        <v>109.0</v>
      </c>
      <c r="E90" s="6">
        <v>214.0</v>
      </c>
      <c r="F90" s="6">
        <v>308.0</v>
      </c>
    </row>
    <row r="91">
      <c r="A91" s="6" t="s">
        <v>135</v>
      </c>
      <c r="B91" s="6" t="s">
        <v>45</v>
      </c>
      <c r="C91" s="6">
        <v>50.0</v>
      </c>
      <c r="D91" s="6">
        <v>212.0</v>
      </c>
      <c r="E91" s="6">
        <v>295.0</v>
      </c>
      <c r="F91" s="6">
        <v>456.0</v>
      </c>
    </row>
    <row r="92">
      <c r="A92" s="6" t="s">
        <v>136</v>
      </c>
      <c r="B92" s="6" t="s">
        <v>45</v>
      </c>
      <c r="C92" s="6">
        <v>150.0</v>
      </c>
      <c r="D92" s="6">
        <v>699.0</v>
      </c>
      <c r="E92" s="6">
        <v>608.0</v>
      </c>
      <c r="F92" s="6">
        <v>959.0</v>
      </c>
    </row>
    <row r="93">
      <c r="A93" s="6" t="s">
        <v>137</v>
      </c>
      <c r="B93" s="6" t="s">
        <v>45</v>
      </c>
      <c r="C93" s="6">
        <v>150.0</v>
      </c>
      <c r="D93" s="6">
        <v>652.0</v>
      </c>
      <c r="E93" s="6">
        <v>617.0</v>
      </c>
      <c r="F93" s="6">
        <v>920.0</v>
      </c>
    </row>
    <row r="94">
      <c r="A94" s="6" t="s">
        <v>138</v>
      </c>
      <c r="B94" s="6" t="s">
        <v>45</v>
      </c>
      <c r="C94" s="6">
        <v>400.0</v>
      </c>
      <c r="D94" s="6">
        <v>1816.0</v>
      </c>
      <c r="E94" s="6">
        <v>1277.0</v>
      </c>
      <c r="F94" s="6">
        <v>2022.0</v>
      </c>
    </row>
    <row r="95">
      <c r="A95" s="6" t="s">
        <v>36</v>
      </c>
      <c r="B95" s="6" t="s">
        <v>53</v>
      </c>
      <c r="C95" s="6">
        <v>10.0</v>
      </c>
      <c r="D95" s="6">
        <v>46.0</v>
      </c>
      <c r="E95" s="6">
        <v>42.0</v>
      </c>
      <c r="F95" s="6">
        <v>74.0</v>
      </c>
    </row>
    <row r="96">
      <c r="A96" s="6" t="s">
        <v>139</v>
      </c>
      <c r="B96" s="6" t="s">
        <v>45</v>
      </c>
      <c r="C96" s="6">
        <v>400.0</v>
      </c>
      <c r="D96" s="6">
        <v>1776.0</v>
      </c>
      <c r="E96" s="6">
        <v>1336.0</v>
      </c>
      <c r="F96" s="6">
        <v>2050.0</v>
      </c>
    </row>
    <row r="97">
      <c r="A97" s="6" t="s">
        <v>140</v>
      </c>
      <c r="B97" s="6" t="s">
        <v>45</v>
      </c>
      <c r="C97" s="6">
        <v>15.0</v>
      </c>
      <c r="D97" s="6">
        <v>69.0</v>
      </c>
      <c r="E97" s="6">
        <v>122.0</v>
      </c>
      <c r="F97" s="6">
        <v>186.0</v>
      </c>
    </row>
    <row r="98">
      <c r="A98" s="6" t="s">
        <v>141</v>
      </c>
      <c r="B98" s="6" t="s">
        <v>53</v>
      </c>
      <c r="C98" s="6">
        <v>15.0</v>
      </c>
      <c r="D98" s="6">
        <v>58.0</v>
      </c>
      <c r="E98" s="6">
        <v>56.0</v>
      </c>
      <c r="F98" s="6">
        <v>88.0</v>
      </c>
    </row>
    <row r="99">
      <c r="A99" s="6" t="s">
        <v>142</v>
      </c>
      <c r="B99" s="6" t="s">
        <v>45</v>
      </c>
      <c r="C99" s="6">
        <v>500.0</v>
      </c>
      <c r="D99" s="6">
        <v>2282.0</v>
      </c>
      <c r="E99" s="6">
        <v>1613.0</v>
      </c>
      <c r="F99" s="6">
        <v>2545.0</v>
      </c>
    </row>
    <row r="100">
      <c r="A100" s="6" t="s">
        <v>143</v>
      </c>
      <c r="B100" s="6" t="s">
        <v>45</v>
      </c>
      <c r="C100" s="6">
        <v>100.0</v>
      </c>
      <c r="D100" s="6">
        <v>456.0</v>
      </c>
      <c r="E100" s="6">
        <v>512.0</v>
      </c>
      <c r="F100" s="6">
        <v>786.0</v>
      </c>
    </row>
    <row r="101">
      <c r="A101" s="6" t="s">
        <v>144</v>
      </c>
      <c r="B101" s="6" t="s">
        <v>45</v>
      </c>
      <c r="C101" s="6">
        <v>1000.0</v>
      </c>
      <c r="D101" s="6">
        <v>4473.0</v>
      </c>
      <c r="E101" s="6">
        <v>3318.0</v>
      </c>
      <c r="F101" s="6">
        <v>5109.0</v>
      </c>
    </row>
    <row r="102">
      <c r="A102" s="6" t="s">
        <v>145</v>
      </c>
      <c r="B102" s="6" t="s">
        <v>45</v>
      </c>
      <c r="C102" s="6">
        <v>200.0</v>
      </c>
      <c r="D102" s="6">
        <v>863.0</v>
      </c>
      <c r="E102" s="6">
        <v>694.0</v>
      </c>
      <c r="F102" s="6">
        <v>1027.0</v>
      </c>
    </row>
    <row r="103">
      <c r="A103" s="6" t="s">
        <v>146</v>
      </c>
      <c r="B103" s="6" t="s">
        <v>45</v>
      </c>
      <c r="C103" s="6">
        <v>150.0</v>
      </c>
      <c r="D103" s="6">
        <v>656.0</v>
      </c>
      <c r="E103" s="6">
        <v>605.0</v>
      </c>
      <c r="F103" s="6">
        <v>936.0</v>
      </c>
    </row>
    <row r="104">
      <c r="A104" s="6" t="s">
        <v>147</v>
      </c>
      <c r="B104" s="6" t="s">
        <v>45</v>
      </c>
      <c r="C104" s="6">
        <v>125.0</v>
      </c>
      <c r="D104" s="6">
        <v>551.0</v>
      </c>
      <c r="E104" s="6">
        <v>536.0</v>
      </c>
      <c r="F104" s="6">
        <v>836.0</v>
      </c>
    </row>
    <row r="105">
      <c r="A105" s="6" t="s">
        <v>148</v>
      </c>
      <c r="B105" s="6" t="s">
        <v>45</v>
      </c>
      <c r="C105" s="6">
        <v>50.0</v>
      </c>
      <c r="D105" s="6">
        <v>244.0</v>
      </c>
      <c r="E105" s="6">
        <v>332.0</v>
      </c>
      <c r="F105" s="6">
        <v>510.0</v>
      </c>
    </row>
    <row r="106">
      <c r="A106" s="6" t="s">
        <v>149</v>
      </c>
      <c r="B106" s="6" t="s">
        <v>45</v>
      </c>
      <c r="C106" s="6">
        <v>400.0</v>
      </c>
      <c r="D106" s="6">
        <v>1747.0</v>
      </c>
      <c r="E106" s="6">
        <v>1364.0</v>
      </c>
      <c r="F106" s="6">
        <v>2040.0</v>
      </c>
    </row>
    <row r="107">
      <c r="A107" s="6" t="s">
        <v>150</v>
      </c>
      <c r="B107" s="6" t="s">
        <v>53</v>
      </c>
      <c r="C107" s="6">
        <v>50.0</v>
      </c>
      <c r="D107" s="6">
        <v>213.0</v>
      </c>
      <c r="E107" s="6">
        <v>150.0</v>
      </c>
      <c r="F107" s="6">
        <v>254.0</v>
      </c>
    </row>
    <row r="108">
      <c r="A108" s="6" t="s">
        <v>151</v>
      </c>
      <c r="B108" s="6" t="s">
        <v>45</v>
      </c>
      <c r="C108" s="6">
        <v>300.0</v>
      </c>
      <c r="D108" s="6">
        <v>1354.0</v>
      </c>
      <c r="E108" s="6">
        <v>1043.0</v>
      </c>
      <c r="F108" s="6">
        <v>1574.0</v>
      </c>
    </row>
    <row r="109">
      <c r="A109" s="6" t="s">
        <v>152</v>
      </c>
      <c r="B109" s="6" t="s">
        <v>45</v>
      </c>
      <c r="C109" s="6">
        <v>300.0</v>
      </c>
      <c r="D109" s="6">
        <v>1300.0</v>
      </c>
      <c r="E109" s="6">
        <v>1054.0</v>
      </c>
      <c r="F109" s="6">
        <v>1534.0</v>
      </c>
    </row>
    <row r="110">
      <c r="A110" s="6" t="s">
        <v>153</v>
      </c>
      <c r="B110" s="6" t="s">
        <v>45</v>
      </c>
      <c r="C110" s="6">
        <v>30.0</v>
      </c>
      <c r="D110" s="6">
        <v>116.0</v>
      </c>
      <c r="E110" s="6">
        <v>206.0</v>
      </c>
      <c r="F110" s="6">
        <v>306.0</v>
      </c>
    </row>
    <row r="111">
      <c r="A111" s="6" t="s">
        <v>154</v>
      </c>
      <c r="B111" s="6" t="s">
        <v>45</v>
      </c>
      <c r="C111" s="6">
        <v>750.0</v>
      </c>
      <c r="D111" s="6">
        <v>3314.0</v>
      </c>
      <c r="E111" s="6">
        <v>2471.0</v>
      </c>
      <c r="F111" s="6">
        <v>3763.0</v>
      </c>
    </row>
  </sheetData>
  <autoFilter ref="$A$1:$F$11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63"/>
    <col customWidth="1" min="3" max="3" width="18.25"/>
    <col customWidth="1" min="4" max="5" width="12.63"/>
    <col customWidth="1" min="6" max="6" width="19.75"/>
    <col customWidth="1" min="7" max="7" width="15.63"/>
    <col customWidth="1" min="8" max="8" width="16.88"/>
    <col customWidth="1" min="9" max="9" width="20.25"/>
    <col customWidth="1" min="10" max="12" width="12.63"/>
  </cols>
  <sheetData>
    <row r="1">
      <c r="A1" s="7" t="s">
        <v>38</v>
      </c>
      <c r="B1" s="7" t="s">
        <v>39</v>
      </c>
      <c r="C1" s="7" t="s">
        <v>40</v>
      </c>
      <c r="D1" s="7" t="s">
        <v>155</v>
      </c>
      <c r="E1" s="7" t="s">
        <v>156</v>
      </c>
      <c r="F1" s="7" t="s">
        <v>157</v>
      </c>
      <c r="G1" s="7" t="s">
        <v>158</v>
      </c>
      <c r="H1" s="7" t="s">
        <v>159</v>
      </c>
      <c r="I1" s="7" t="s">
        <v>160</v>
      </c>
      <c r="J1" s="7" t="s">
        <v>161</v>
      </c>
      <c r="K1" s="7" t="s">
        <v>162</v>
      </c>
      <c r="L1" s="7" t="s">
        <v>163</v>
      </c>
    </row>
    <row r="2">
      <c r="A2" s="8" t="s">
        <v>93</v>
      </c>
      <c r="B2" s="8" t="s">
        <v>53</v>
      </c>
      <c r="C2" s="8">
        <v>10.0</v>
      </c>
      <c r="D2" s="8">
        <v>161.0</v>
      </c>
      <c r="E2" s="8">
        <v>0.0</v>
      </c>
      <c r="F2" s="8">
        <v>3.0</v>
      </c>
      <c r="G2" s="9">
        <f t="shared" ref="G2:G111" si="1">C2/F2</f>
        <v>3.333333333</v>
      </c>
      <c r="H2" s="8">
        <v>46.0</v>
      </c>
      <c r="I2" s="8">
        <v>0.0</v>
      </c>
      <c r="J2" s="8">
        <v>0.0</v>
      </c>
      <c r="K2" s="8">
        <v>2.0</v>
      </c>
      <c r="L2" s="8">
        <v>1.0</v>
      </c>
    </row>
    <row r="3">
      <c r="A3" s="8" t="s">
        <v>36</v>
      </c>
      <c r="B3" s="8" t="s">
        <v>53</v>
      </c>
      <c r="C3" s="8">
        <v>10.0</v>
      </c>
      <c r="D3" s="8">
        <v>146.0</v>
      </c>
      <c r="E3" s="8">
        <v>0.0</v>
      </c>
      <c r="F3" s="8">
        <v>3.0</v>
      </c>
      <c r="G3" s="9">
        <f t="shared" si="1"/>
        <v>3.333333333</v>
      </c>
      <c r="H3" s="8">
        <v>101.0</v>
      </c>
      <c r="I3" s="8">
        <v>0.0</v>
      </c>
      <c r="J3" s="8">
        <v>2.0</v>
      </c>
      <c r="K3" s="8">
        <v>0.0</v>
      </c>
      <c r="L3" s="8">
        <v>1.0</v>
      </c>
    </row>
    <row r="4">
      <c r="A4" s="8" t="s">
        <v>55</v>
      </c>
      <c r="B4" s="8" t="s">
        <v>53</v>
      </c>
      <c r="C4" s="8">
        <v>15.0</v>
      </c>
      <c r="D4" s="8">
        <v>378.0</v>
      </c>
      <c r="E4" s="8">
        <v>0.3</v>
      </c>
      <c r="F4" s="8">
        <v>5.0</v>
      </c>
      <c r="G4" s="8">
        <f t="shared" si="1"/>
        <v>3</v>
      </c>
      <c r="H4" s="8">
        <v>158.0</v>
      </c>
      <c r="I4" s="8">
        <v>0.0</v>
      </c>
      <c r="J4" s="8">
        <v>3.0</v>
      </c>
      <c r="K4" s="8">
        <v>2.0</v>
      </c>
      <c r="L4" s="8">
        <v>0.0</v>
      </c>
    </row>
    <row r="5">
      <c r="A5" s="8" t="s">
        <v>141</v>
      </c>
      <c r="B5" s="8" t="s">
        <v>53</v>
      </c>
      <c r="C5" s="8">
        <v>15.0</v>
      </c>
      <c r="D5" s="8">
        <v>201.0</v>
      </c>
      <c r="E5" s="8">
        <v>0.0</v>
      </c>
      <c r="F5" s="8">
        <v>4.0</v>
      </c>
      <c r="G5" s="8">
        <f t="shared" si="1"/>
        <v>3.75</v>
      </c>
      <c r="H5" s="8">
        <v>81.0</v>
      </c>
      <c r="I5" s="8">
        <v>1.0</v>
      </c>
      <c r="J5" s="8">
        <v>1.0</v>
      </c>
      <c r="K5" s="8">
        <v>1.0</v>
      </c>
      <c r="L5" s="8">
        <v>2.0</v>
      </c>
    </row>
    <row r="6">
      <c r="A6" s="8" t="s">
        <v>109</v>
      </c>
      <c r="B6" s="8" t="s">
        <v>53</v>
      </c>
      <c r="C6" s="8">
        <v>20.0</v>
      </c>
      <c r="D6" s="8">
        <v>398.0</v>
      </c>
      <c r="E6" s="8">
        <v>0.0</v>
      </c>
      <c r="F6" s="8">
        <v>6.0</v>
      </c>
      <c r="G6" s="9">
        <f t="shared" si="1"/>
        <v>3.333333333</v>
      </c>
      <c r="H6" s="8">
        <v>158.0</v>
      </c>
      <c r="I6" s="8">
        <v>0.0</v>
      </c>
      <c r="J6" s="8">
        <v>2.0</v>
      </c>
      <c r="K6" s="8">
        <v>3.0</v>
      </c>
      <c r="L6" s="8">
        <v>1.0</v>
      </c>
    </row>
    <row r="7">
      <c r="A7" s="8" t="s">
        <v>85</v>
      </c>
      <c r="B7" s="8" t="s">
        <v>53</v>
      </c>
      <c r="C7" s="8">
        <v>20.0</v>
      </c>
      <c r="D7" s="8">
        <v>286.0</v>
      </c>
      <c r="E7" s="8">
        <v>0.0</v>
      </c>
      <c r="F7" s="8">
        <v>7.0</v>
      </c>
      <c r="G7" s="9">
        <f t="shared" si="1"/>
        <v>2.857142857</v>
      </c>
      <c r="H7" s="8">
        <v>131.0</v>
      </c>
      <c r="I7" s="8">
        <v>0.0</v>
      </c>
      <c r="J7" s="8">
        <v>3.0</v>
      </c>
      <c r="K7" s="8">
        <v>3.0</v>
      </c>
      <c r="L7" s="8">
        <v>1.0</v>
      </c>
    </row>
    <row r="8">
      <c r="A8" s="8" t="s">
        <v>105</v>
      </c>
      <c r="B8" s="8" t="s">
        <v>53</v>
      </c>
      <c r="C8" s="8">
        <v>25.0</v>
      </c>
      <c r="D8" s="8">
        <v>466.0</v>
      </c>
      <c r="E8" s="8">
        <v>1.0</v>
      </c>
      <c r="F8" s="8">
        <v>10.0</v>
      </c>
      <c r="G8" s="9">
        <f t="shared" si="1"/>
        <v>2.5</v>
      </c>
      <c r="H8" s="8">
        <v>216.0</v>
      </c>
      <c r="I8" s="8">
        <v>0.0</v>
      </c>
      <c r="J8" s="8">
        <v>7.0</v>
      </c>
      <c r="K8" s="8">
        <v>2.0</v>
      </c>
      <c r="L8" s="8">
        <v>1.0</v>
      </c>
    </row>
    <row r="9">
      <c r="A9" s="8" t="s">
        <v>126</v>
      </c>
      <c r="B9" s="8" t="s">
        <v>53</v>
      </c>
      <c r="C9" s="8">
        <v>30.0</v>
      </c>
      <c r="D9" s="8">
        <v>491.0</v>
      </c>
      <c r="E9" s="8">
        <v>1.1</v>
      </c>
      <c r="F9" s="8">
        <v>10.0</v>
      </c>
      <c r="G9" s="8">
        <f t="shared" si="1"/>
        <v>3</v>
      </c>
      <c r="H9" s="8">
        <v>276.0</v>
      </c>
      <c r="I9" s="8">
        <v>0.0</v>
      </c>
      <c r="J9" s="8">
        <v>7.0</v>
      </c>
      <c r="K9" s="8">
        <v>2.0</v>
      </c>
      <c r="L9" s="8">
        <v>1.0</v>
      </c>
    </row>
    <row r="10">
      <c r="A10" s="8" t="s">
        <v>65</v>
      </c>
      <c r="B10" s="8" t="s">
        <v>53</v>
      </c>
      <c r="C10" s="8">
        <v>30.0</v>
      </c>
      <c r="D10" s="8">
        <v>664.0</v>
      </c>
      <c r="E10" s="8">
        <v>0.0</v>
      </c>
      <c r="F10" s="8">
        <v>10.0</v>
      </c>
      <c r="G10" s="8">
        <f t="shared" si="1"/>
        <v>3</v>
      </c>
      <c r="H10" s="8">
        <v>179.0</v>
      </c>
      <c r="I10" s="8">
        <v>0.0</v>
      </c>
      <c r="J10" s="8">
        <v>4.0</v>
      </c>
      <c r="K10" s="8">
        <v>4.0</v>
      </c>
      <c r="L10" s="8">
        <v>2.0</v>
      </c>
    </row>
    <row r="11">
      <c r="A11" s="8" t="s">
        <v>114</v>
      </c>
      <c r="B11" s="8" t="s">
        <v>53</v>
      </c>
      <c r="C11" s="8">
        <v>40.0</v>
      </c>
      <c r="D11" s="8">
        <v>765.0</v>
      </c>
      <c r="E11" s="8">
        <v>1.0</v>
      </c>
      <c r="F11" s="8">
        <v>13.0</v>
      </c>
      <c r="G11" s="9">
        <f t="shared" si="1"/>
        <v>3.076923077</v>
      </c>
      <c r="H11" s="8">
        <v>185.0</v>
      </c>
      <c r="I11" s="8">
        <v>0.0</v>
      </c>
      <c r="J11" s="8">
        <v>2.0</v>
      </c>
      <c r="K11" s="8">
        <v>6.0</v>
      </c>
      <c r="L11" s="8">
        <v>5.0</v>
      </c>
    </row>
    <row r="12">
      <c r="A12" s="8" t="s">
        <v>69</v>
      </c>
      <c r="B12" s="8" t="s">
        <v>53</v>
      </c>
      <c r="C12" s="8">
        <v>50.0</v>
      </c>
      <c r="D12" s="8">
        <v>985.0</v>
      </c>
      <c r="E12" s="8">
        <v>5.7</v>
      </c>
      <c r="F12" s="8">
        <v>16.0</v>
      </c>
      <c r="G12" s="9">
        <f t="shared" si="1"/>
        <v>3.125</v>
      </c>
      <c r="H12" s="8">
        <v>435.0</v>
      </c>
      <c r="I12" s="8">
        <v>0.0</v>
      </c>
      <c r="J12" s="8">
        <v>9.0</v>
      </c>
      <c r="K12" s="8">
        <v>4.0</v>
      </c>
      <c r="L12" s="8">
        <v>3.0</v>
      </c>
    </row>
    <row r="13">
      <c r="A13" s="8" t="s">
        <v>150</v>
      </c>
      <c r="B13" s="8" t="s">
        <v>53</v>
      </c>
      <c r="C13" s="8">
        <v>50.0</v>
      </c>
      <c r="D13" s="8">
        <v>1020.0</v>
      </c>
      <c r="E13" s="8">
        <v>0.0</v>
      </c>
      <c r="F13" s="8">
        <v>14.0</v>
      </c>
      <c r="G13" s="9">
        <f t="shared" si="1"/>
        <v>3.571428571</v>
      </c>
      <c r="H13" s="8">
        <v>295.0</v>
      </c>
      <c r="I13" s="8">
        <v>1.0</v>
      </c>
      <c r="J13" s="8">
        <v>2.0</v>
      </c>
      <c r="K13" s="8">
        <v>6.0</v>
      </c>
      <c r="L13" s="8">
        <v>6.0</v>
      </c>
    </row>
    <row r="14">
      <c r="A14" s="8" t="s">
        <v>123</v>
      </c>
      <c r="B14" s="8" t="s">
        <v>53</v>
      </c>
      <c r="C14" s="8">
        <v>75.0</v>
      </c>
      <c r="D14" s="8">
        <v>1250.0</v>
      </c>
      <c r="E14" s="8">
        <v>10.9</v>
      </c>
      <c r="F14" s="8">
        <v>24.0</v>
      </c>
      <c r="G14" s="9">
        <f t="shared" si="1"/>
        <v>3.125</v>
      </c>
      <c r="H14" s="8">
        <v>540.0</v>
      </c>
      <c r="I14" s="8">
        <v>0.0</v>
      </c>
      <c r="J14" s="8">
        <v>10.0</v>
      </c>
      <c r="K14" s="8">
        <v>10.0</v>
      </c>
      <c r="L14" s="8">
        <v>4.0</v>
      </c>
    </row>
    <row r="15">
      <c r="A15" s="8" t="s">
        <v>61</v>
      </c>
      <c r="B15" s="8" t="s">
        <v>53</v>
      </c>
      <c r="C15" s="8">
        <v>100.0</v>
      </c>
      <c r="D15" s="8">
        <v>1135.0</v>
      </c>
      <c r="E15" s="8">
        <v>19.5</v>
      </c>
      <c r="F15" s="8">
        <v>32.0</v>
      </c>
      <c r="G15" s="9">
        <f t="shared" si="1"/>
        <v>3.125</v>
      </c>
      <c r="H15" s="8">
        <v>815.0</v>
      </c>
      <c r="I15" s="8">
        <v>0.0</v>
      </c>
      <c r="J15" s="8">
        <v>22.0</v>
      </c>
      <c r="K15" s="8">
        <v>3.0</v>
      </c>
      <c r="L15" s="8">
        <v>7.0</v>
      </c>
    </row>
    <row r="16">
      <c r="A16" s="8" t="s">
        <v>100</v>
      </c>
      <c r="B16" s="8" t="s">
        <v>53</v>
      </c>
      <c r="C16" s="8">
        <v>100.0</v>
      </c>
      <c r="D16" s="8">
        <v>1428.0</v>
      </c>
      <c r="E16" s="8">
        <v>19.6</v>
      </c>
      <c r="F16" s="8">
        <v>32.0</v>
      </c>
      <c r="G16" s="9">
        <f t="shared" si="1"/>
        <v>3.125</v>
      </c>
      <c r="H16" s="8">
        <v>638.0</v>
      </c>
      <c r="I16" s="8">
        <v>0.0</v>
      </c>
      <c r="J16" s="8">
        <v>14.0</v>
      </c>
      <c r="K16" s="8">
        <v>10.0</v>
      </c>
      <c r="L16" s="8">
        <v>8.0</v>
      </c>
    </row>
    <row r="17">
      <c r="A17" s="8" t="s">
        <v>94</v>
      </c>
      <c r="B17" s="8" t="s">
        <v>53</v>
      </c>
      <c r="C17" s="8">
        <v>150.0</v>
      </c>
      <c r="D17" s="8">
        <v>1322.0</v>
      </c>
      <c r="E17" s="8">
        <v>9.8</v>
      </c>
      <c r="F17" s="8">
        <v>47.0</v>
      </c>
      <c r="G17" s="9">
        <f t="shared" si="1"/>
        <v>3.191489362</v>
      </c>
      <c r="H17" s="8">
        <v>877.0</v>
      </c>
      <c r="I17" s="8">
        <v>0.0</v>
      </c>
      <c r="J17" s="8">
        <v>19.0</v>
      </c>
      <c r="K17" s="8">
        <v>12.0</v>
      </c>
      <c r="L17" s="8">
        <v>16.0</v>
      </c>
    </row>
    <row r="18">
      <c r="A18" s="8" t="s">
        <v>132</v>
      </c>
      <c r="B18" s="8" t="s">
        <v>53</v>
      </c>
      <c r="C18" s="8">
        <v>208.0</v>
      </c>
      <c r="D18" s="8">
        <v>1878.0</v>
      </c>
      <c r="E18" s="8">
        <v>43.0</v>
      </c>
      <c r="F18" s="8">
        <v>63.0</v>
      </c>
      <c r="G18" s="9">
        <f t="shared" si="1"/>
        <v>3.301587302</v>
      </c>
      <c r="H18" s="8">
        <v>1453.0</v>
      </c>
      <c r="I18" s="8">
        <v>0.0</v>
      </c>
      <c r="J18" s="8">
        <v>26.0</v>
      </c>
      <c r="K18" s="8">
        <v>20.0</v>
      </c>
      <c r="L18" s="8">
        <v>17.0</v>
      </c>
    </row>
    <row r="19">
      <c r="A19" s="8" t="s">
        <v>110</v>
      </c>
      <c r="B19" s="8" t="s">
        <v>53</v>
      </c>
      <c r="C19" s="8">
        <v>208.0</v>
      </c>
      <c r="D19" s="8">
        <v>2033.0</v>
      </c>
      <c r="E19" s="8">
        <v>19.8</v>
      </c>
      <c r="F19" s="8">
        <v>62.0</v>
      </c>
      <c r="G19" s="9">
        <f t="shared" si="1"/>
        <v>3.35483871</v>
      </c>
      <c r="H19" s="8">
        <v>1033.0</v>
      </c>
      <c r="I19" s="8">
        <v>0.0</v>
      </c>
      <c r="J19" s="8">
        <v>16.0</v>
      </c>
      <c r="K19" s="8">
        <v>20.0</v>
      </c>
      <c r="L19" s="8">
        <v>26.0</v>
      </c>
    </row>
    <row r="20">
      <c r="A20" s="8" t="s">
        <v>52</v>
      </c>
      <c r="B20" s="8" t="s">
        <v>53</v>
      </c>
      <c r="C20" s="8">
        <v>300.0</v>
      </c>
      <c r="D20" s="8">
        <v>2360.0</v>
      </c>
      <c r="E20" s="8">
        <v>34.5</v>
      </c>
      <c r="F20" s="8">
        <v>100.0</v>
      </c>
      <c r="G20" s="8">
        <f t="shared" si="1"/>
        <v>3</v>
      </c>
      <c r="H20" s="8">
        <v>1595.0</v>
      </c>
      <c r="I20" s="8">
        <v>0.0</v>
      </c>
      <c r="J20" s="8">
        <v>43.0</v>
      </c>
      <c r="K20" s="8">
        <v>22.0</v>
      </c>
      <c r="L20" s="8">
        <v>35.0</v>
      </c>
    </row>
    <row r="21">
      <c r="A21" s="8" t="s">
        <v>86</v>
      </c>
      <c r="B21" s="8" t="s">
        <v>53</v>
      </c>
      <c r="C21" s="8">
        <v>500.0</v>
      </c>
      <c r="D21" s="8">
        <v>3368.0</v>
      </c>
      <c r="E21" s="8">
        <v>465.7</v>
      </c>
      <c r="F21" s="8">
        <v>167.0</v>
      </c>
      <c r="G21" s="9">
        <f t="shared" si="1"/>
        <v>2.994011976</v>
      </c>
      <c r="H21" s="8">
        <v>2633.0</v>
      </c>
      <c r="I21" s="8">
        <v>0.0</v>
      </c>
      <c r="J21" s="8">
        <v>71.0</v>
      </c>
      <c r="K21" s="8">
        <v>38.0</v>
      </c>
      <c r="L21" s="8">
        <v>58.0</v>
      </c>
    </row>
    <row r="22">
      <c r="A22" s="8" t="s">
        <v>125</v>
      </c>
      <c r="B22" s="8" t="s">
        <v>45</v>
      </c>
      <c r="C22" s="8">
        <v>10.0</v>
      </c>
      <c r="D22" s="8">
        <v>13.0</v>
      </c>
      <c r="E22" s="8">
        <v>0.1</v>
      </c>
      <c r="F22" s="8">
        <v>4.0</v>
      </c>
      <c r="G22" s="8">
        <f t="shared" si="1"/>
        <v>2.5</v>
      </c>
      <c r="H22" s="8">
        <v>13.0</v>
      </c>
      <c r="I22" s="8">
        <v>0.0</v>
      </c>
      <c r="J22" s="8">
        <v>0.0</v>
      </c>
      <c r="K22" s="8">
        <v>0.0</v>
      </c>
      <c r="L22" s="8">
        <v>4.0</v>
      </c>
    </row>
    <row r="23">
      <c r="A23" s="8" t="s">
        <v>111</v>
      </c>
      <c r="B23" s="8" t="s">
        <v>45</v>
      </c>
      <c r="C23" s="8">
        <v>10.0</v>
      </c>
      <c r="D23" s="8">
        <v>12.0</v>
      </c>
      <c r="E23" s="8">
        <v>0.1</v>
      </c>
      <c r="F23" s="8">
        <v>4.0</v>
      </c>
      <c r="G23" s="8">
        <f t="shared" si="1"/>
        <v>2.5</v>
      </c>
      <c r="H23" s="8">
        <v>12.0</v>
      </c>
      <c r="I23" s="8">
        <v>0.0</v>
      </c>
      <c r="J23" s="8">
        <v>0.0</v>
      </c>
      <c r="K23" s="8">
        <v>1.0</v>
      </c>
      <c r="L23" s="8">
        <v>3.0</v>
      </c>
    </row>
    <row r="24">
      <c r="A24" s="8" t="s">
        <v>133</v>
      </c>
      <c r="B24" s="8" t="s">
        <v>45</v>
      </c>
      <c r="C24" s="8">
        <v>10.0</v>
      </c>
      <c r="D24" s="8">
        <v>13.0</v>
      </c>
      <c r="E24" s="8">
        <v>0.0</v>
      </c>
      <c r="F24" s="8">
        <v>4.0</v>
      </c>
      <c r="G24" s="8">
        <f t="shared" si="1"/>
        <v>2.5</v>
      </c>
      <c r="H24" s="8">
        <v>13.0</v>
      </c>
      <c r="I24" s="8">
        <v>0.0</v>
      </c>
      <c r="J24" s="8">
        <v>0.0</v>
      </c>
      <c r="K24" s="8">
        <v>1.0</v>
      </c>
      <c r="L24" s="8">
        <v>3.0</v>
      </c>
    </row>
    <row r="25">
      <c r="A25" s="8" t="s">
        <v>124</v>
      </c>
      <c r="B25" s="8" t="s">
        <v>45</v>
      </c>
      <c r="C25" s="8">
        <v>10.0</v>
      </c>
      <c r="D25" s="8">
        <v>13.0</v>
      </c>
      <c r="E25" s="8">
        <v>0.1</v>
      </c>
      <c r="F25" s="8">
        <v>4.0</v>
      </c>
      <c r="G25" s="8">
        <f t="shared" si="1"/>
        <v>2.5</v>
      </c>
      <c r="H25" s="8">
        <v>13.0</v>
      </c>
      <c r="I25" s="8">
        <v>0.0</v>
      </c>
      <c r="J25" s="8">
        <v>0.0</v>
      </c>
      <c r="K25" s="8">
        <v>1.0</v>
      </c>
      <c r="L25" s="8">
        <v>3.0</v>
      </c>
    </row>
    <row r="26">
      <c r="A26" s="8" t="s">
        <v>49</v>
      </c>
      <c r="B26" s="8" t="s">
        <v>45</v>
      </c>
      <c r="C26" s="8">
        <v>10.0</v>
      </c>
      <c r="D26" s="8">
        <v>20.0</v>
      </c>
      <c r="E26" s="8">
        <v>0.1</v>
      </c>
      <c r="F26" s="8">
        <v>4.0</v>
      </c>
      <c r="G26" s="8">
        <f t="shared" si="1"/>
        <v>2.5</v>
      </c>
      <c r="H26" s="8">
        <v>20.0</v>
      </c>
      <c r="I26" s="8">
        <v>0.0</v>
      </c>
      <c r="J26" s="8">
        <v>0.0</v>
      </c>
      <c r="K26" s="8">
        <v>0.0</v>
      </c>
      <c r="L26" s="8">
        <v>4.0</v>
      </c>
    </row>
    <row r="27">
      <c r="A27" s="8" t="s">
        <v>130</v>
      </c>
      <c r="B27" s="8" t="s">
        <v>45</v>
      </c>
      <c r="C27" s="8">
        <v>15.0</v>
      </c>
      <c r="D27" s="8">
        <v>20.0</v>
      </c>
      <c r="E27" s="8">
        <v>0.3</v>
      </c>
      <c r="F27" s="8">
        <v>5.0</v>
      </c>
      <c r="G27" s="8">
        <f t="shared" si="1"/>
        <v>3</v>
      </c>
      <c r="H27" s="8">
        <v>20.0</v>
      </c>
      <c r="I27" s="8">
        <v>0.0</v>
      </c>
      <c r="J27" s="8">
        <v>0.0</v>
      </c>
      <c r="K27" s="8">
        <v>0.0</v>
      </c>
      <c r="L27" s="8">
        <v>5.0</v>
      </c>
    </row>
    <row r="28">
      <c r="A28" s="8" t="s">
        <v>140</v>
      </c>
      <c r="B28" s="8" t="s">
        <v>45</v>
      </c>
      <c r="C28" s="8">
        <v>15.0</v>
      </c>
      <c r="D28" s="8">
        <v>18.0</v>
      </c>
      <c r="E28" s="8">
        <v>0.3</v>
      </c>
      <c r="F28" s="8">
        <v>5.0</v>
      </c>
      <c r="G28" s="8">
        <f t="shared" si="1"/>
        <v>3</v>
      </c>
      <c r="H28" s="8">
        <v>18.0</v>
      </c>
      <c r="I28" s="8">
        <v>0.0</v>
      </c>
      <c r="J28" s="8">
        <v>0.0</v>
      </c>
      <c r="K28" s="8">
        <v>0.0</v>
      </c>
      <c r="L28" s="8">
        <v>5.0</v>
      </c>
    </row>
    <row r="29">
      <c r="A29" s="8" t="s">
        <v>60</v>
      </c>
      <c r="B29" s="8" t="s">
        <v>45</v>
      </c>
      <c r="C29" s="8">
        <v>15.0</v>
      </c>
      <c r="D29" s="8">
        <v>19.0</v>
      </c>
      <c r="E29" s="8">
        <v>0.3</v>
      </c>
      <c r="F29" s="8">
        <v>5.0</v>
      </c>
      <c r="G29" s="8">
        <f t="shared" si="1"/>
        <v>3</v>
      </c>
      <c r="H29" s="8">
        <v>19.0</v>
      </c>
      <c r="I29" s="8">
        <v>0.0</v>
      </c>
      <c r="J29" s="8">
        <v>0.0</v>
      </c>
      <c r="K29" s="8">
        <v>0.0</v>
      </c>
      <c r="L29" s="8">
        <v>5.0</v>
      </c>
    </row>
    <row r="30">
      <c r="A30" s="8" t="s">
        <v>59</v>
      </c>
      <c r="B30" s="8" t="s">
        <v>45</v>
      </c>
      <c r="C30" s="8">
        <v>15.0</v>
      </c>
      <c r="D30" s="8">
        <v>23.0</v>
      </c>
      <c r="E30" s="8">
        <v>0.3</v>
      </c>
      <c r="F30" s="8">
        <v>5.0</v>
      </c>
      <c r="G30" s="8">
        <f t="shared" si="1"/>
        <v>3</v>
      </c>
      <c r="H30" s="8">
        <v>23.0</v>
      </c>
      <c r="I30" s="8">
        <v>0.0</v>
      </c>
      <c r="J30" s="8">
        <v>0.0</v>
      </c>
      <c r="K30" s="8">
        <v>0.0</v>
      </c>
      <c r="L30" s="8">
        <v>5.0</v>
      </c>
    </row>
    <row r="31">
      <c r="A31" s="8" t="s">
        <v>50</v>
      </c>
      <c r="B31" s="8" t="s">
        <v>45</v>
      </c>
      <c r="C31" s="8">
        <v>15.0</v>
      </c>
      <c r="D31" s="8">
        <v>22.0</v>
      </c>
      <c r="E31" s="8">
        <v>0.4</v>
      </c>
      <c r="F31" s="8">
        <v>5.0</v>
      </c>
      <c r="G31" s="8">
        <f t="shared" si="1"/>
        <v>3</v>
      </c>
      <c r="H31" s="8">
        <v>22.0</v>
      </c>
      <c r="I31" s="8">
        <v>0.0</v>
      </c>
      <c r="J31" s="8">
        <v>0.0</v>
      </c>
      <c r="K31" s="8">
        <v>1.0</v>
      </c>
      <c r="L31" s="8">
        <v>4.0</v>
      </c>
    </row>
    <row r="32">
      <c r="A32" s="8" t="s">
        <v>95</v>
      </c>
      <c r="B32" s="8" t="s">
        <v>45</v>
      </c>
      <c r="C32" s="8">
        <v>20.0</v>
      </c>
      <c r="D32" s="8">
        <v>34.0</v>
      </c>
      <c r="E32" s="8">
        <v>0.5</v>
      </c>
      <c r="F32" s="8">
        <v>6.0</v>
      </c>
      <c r="G32" s="9">
        <f t="shared" si="1"/>
        <v>3.333333333</v>
      </c>
      <c r="H32" s="8">
        <v>34.0</v>
      </c>
      <c r="I32" s="8">
        <v>0.0</v>
      </c>
      <c r="J32" s="8">
        <v>0.0</v>
      </c>
      <c r="K32" s="8">
        <v>0.0</v>
      </c>
      <c r="L32" s="8">
        <v>6.0</v>
      </c>
    </row>
    <row r="33">
      <c r="A33" s="8" t="s">
        <v>73</v>
      </c>
      <c r="B33" s="8" t="s">
        <v>45</v>
      </c>
      <c r="C33" s="8">
        <v>20.0</v>
      </c>
      <c r="D33" s="8">
        <v>24.0</v>
      </c>
      <c r="E33" s="8">
        <v>0.0</v>
      </c>
      <c r="F33" s="8">
        <v>6.0</v>
      </c>
      <c r="G33" s="9">
        <f t="shared" si="1"/>
        <v>3.333333333</v>
      </c>
      <c r="H33" s="8">
        <v>24.0</v>
      </c>
      <c r="I33" s="8">
        <v>0.0</v>
      </c>
      <c r="J33" s="8">
        <v>0.0</v>
      </c>
      <c r="K33" s="8">
        <v>0.0</v>
      </c>
      <c r="L33" s="8">
        <v>6.0</v>
      </c>
    </row>
    <row r="34">
      <c r="A34" s="8" t="s">
        <v>46</v>
      </c>
      <c r="B34" s="8" t="s">
        <v>45</v>
      </c>
      <c r="C34" s="8">
        <v>20.0</v>
      </c>
      <c r="D34" s="8">
        <v>25.0</v>
      </c>
      <c r="E34" s="8">
        <v>0.6</v>
      </c>
      <c r="F34" s="8">
        <v>6.0</v>
      </c>
      <c r="G34" s="9">
        <f t="shared" si="1"/>
        <v>3.333333333</v>
      </c>
      <c r="H34" s="8">
        <v>25.0</v>
      </c>
      <c r="I34" s="8">
        <v>0.0</v>
      </c>
      <c r="J34" s="8">
        <v>0.0</v>
      </c>
      <c r="K34" s="8">
        <v>1.0</v>
      </c>
      <c r="L34" s="8">
        <v>5.0</v>
      </c>
    </row>
    <row r="35">
      <c r="A35" s="8" t="s">
        <v>103</v>
      </c>
      <c r="B35" s="8" t="s">
        <v>45</v>
      </c>
      <c r="C35" s="8">
        <v>20.0</v>
      </c>
      <c r="D35" s="8">
        <v>25.0</v>
      </c>
      <c r="E35" s="8">
        <v>0.7</v>
      </c>
      <c r="F35" s="8">
        <v>7.0</v>
      </c>
      <c r="G35" s="9">
        <f t="shared" si="1"/>
        <v>2.857142857</v>
      </c>
      <c r="H35" s="8">
        <v>25.0</v>
      </c>
      <c r="I35" s="8">
        <v>0.0</v>
      </c>
      <c r="J35" s="8">
        <v>0.0</v>
      </c>
      <c r="K35" s="8">
        <v>1.0</v>
      </c>
      <c r="L35" s="8">
        <v>6.0</v>
      </c>
    </row>
    <row r="36">
      <c r="A36" s="8" t="s">
        <v>131</v>
      </c>
      <c r="B36" s="8" t="s">
        <v>45</v>
      </c>
      <c r="C36" s="8">
        <v>20.0</v>
      </c>
      <c r="D36" s="8">
        <v>35.0</v>
      </c>
      <c r="E36" s="8">
        <v>0.8</v>
      </c>
      <c r="F36" s="8">
        <v>7.0</v>
      </c>
      <c r="G36" s="9">
        <f t="shared" si="1"/>
        <v>2.857142857</v>
      </c>
      <c r="H36" s="8">
        <v>35.0</v>
      </c>
      <c r="I36" s="8">
        <v>0.0</v>
      </c>
      <c r="J36" s="8">
        <v>0.0</v>
      </c>
      <c r="K36" s="8">
        <v>1.0</v>
      </c>
      <c r="L36" s="8">
        <v>6.0</v>
      </c>
    </row>
    <row r="37">
      <c r="A37" s="8" t="s">
        <v>115</v>
      </c>
      <c r="B37" s="8" t="s">
        <v>45</v>
      </c>
      <c r="C37" s="8">
        <v>25.0</v>
      </c>
      <c r="D37" s="8">
        <v>34.0</v>
      </c>
      <c r="E37" s="8">
        <v>0.9</v>
      </c>
      <c r="F37" s="8">
        <v>8.0</v>
      </c>
      <c r="G37" s="8">
        <f t="shared" si="1"/>
        <v>3.125</v>
      </c>
      <c r="H37" s="8">
        <v>34.0</v>
      </c>
      <c r="I37" s="8">
        <v>0.0</v>
      </c>
      <c r="J37" s="8">
        <v>0.0</v>
      </c>
      <c r="K37" s="8">
        <v>0.0</v>
      </c>
      <c r="L37" s="8">
        <v>8.0</v>
      </c>
    </row>
    <row r="38">
      <c r="A38" s="8" t="s">
        <v>71</v>
      </c>
      <c r="B38" s="8" t="s">
        <v>45</v>
      </c>
      <c r="C38" s="8">
        <v>25.0</v>
      </c>
      <c r="D38" s="8">
        <v>44.0</v>
      </c>
      <c r="E38" s="8">
        <v>0.1</v>
      </c>
      <c r="F38" s="8">
        <v>8.0</v>
      </c>
      <c r="G38" s="8">
        <f t="shared" si="1"/>
        <v>3.125</v>
      </c>
      <c r="H38" s="8">
        <v>44.0</v>
      </c>
      <c r="I38" s="8">
        <v>0.0</v>
      </c>
      <c r="J38" s="8">
        <v>0.0</v>
      </c>
      <c r="K38" s="8">
        <v>1.0</v>
      </c>
      <c r="L38" s="8">
        <v>7.0</v>
      </c>
    </row>
    <row r="39">
      <c r="A39" s="8" t="s">
        <v>87</v>
      </c>
      <c r="B39" s="8" t="s">
        <v>45</v>
      </c>
      <c r="C39" s="8">
        <v>25.0</v>
      </c>
      <c r="D39" s="8">
        <v>41.0</v>
      </c>
      <c r="E39" s="8">
        <v>1.0</v>
      </c>
      <c r="F39" s="8">
        <v>8.0</v>
      </c>
      <c r="G39" s="8">
        <f t="shared" si="1"/>
        <v>3.125</v>
      </c>
      <c r="H39" s="8">
        <v>41.0</v>
      </c>
      <c r="I39" s="8">
        <v>0.0</v>
      </c>
      <c r="J39" s="8">
        <v>0.0</v>
      </c>
      <c r="K39" s="8">
        <v>1.0</v>
      </c>
      <c r="L39" s="8">
        <v>7.0</v>
      </c>
    </row>
    <row r="40">
      <c r="A40" s="8" t="s">
        <v>44</v>
      </c>
      <c r="B40" s="8" t="s">
        <v>45</v>
      </c>
      <c r="C40" s="8">
        <v>25.0</v>
      </c>
      <c r="D40" s="8">
        <v>43.0</v>
      </c>
      <c r="E40" s="8">
        <v>0.6</v>
      </c>
      <c r="F40" s="8">
        <v>9.0</v>
      </c>
      <c r="G40" s="9">
        <f t="shared" si="1"/>
        <v>2.777777778</v>
      </c>
      <c r="H40" s="8">
        <v>43.0</v>
      </c>
      <c r="I40" s="8">
        <v>0.0</v>
      </c>
      <c r="J40" s="8">
        <v>0.0</v>
      </c>
      <c r="K40" s="8">
        <v>1.0</v>
      </c>
      <c r="L40" s="8">
        <v>8.0</v>
      </c>
    </row>
    <row r="41">
      <c r="A41" s="8" t="s">
        <v>134</v>
      </c>
      <c r="B41" s="8" t="s">
        <v>45</v>
      </c>
      <c r="C41" s="8">
        <v>25.0</v>
      </c>
      <c r="D41" s="8">
        <v>37.0</v>
      </c>
      <c r="E41" s="8">
        <v>0.0</v>
      </c>
      <c r="F41" s="8">
        <v>8.0</v>
      </c>
      <c r="G41" s="8">
        <f t="shared" si="1"/>
        <v>3.125</v>
      </c>
      <c r="H41" s="8">
        <v>37.0</v>
      </c>
      <c r="I41" s="8">
        <v>0.0</v>
      </c>
      <c r="J41" s="8">
        <v>0.0</v>
      </c>
      <c r="K41" s="8">
        <v>0.0</v>
      </c>
      <c r="L41" s="8">
        <v>8.0</v>
      </c>
    </row>
    <row r="42">
      <c r="A42" s="8" t="s">
        <v>153</v>
      </c>
      <c r="B42" s="8" t="s">
        <v>45</v>
      </c>
      <c r="C42" s="8">
        <v>30.0</v>
      </c>
      <c r="D42" s="8">
        <v>44.0</v>
      </c>
      <c r="E42" s="8">
        <v>0.0</v>
      </c>
      <c r="F42" s="8">
        <v>8.0</v>
      </c>
      <c r="G42" s="8">
        <f t="shared" si="1"/>
        <v>3.75</v>
      </c>
      <c r="H42" s="8">
        <v>44.0</v>
      </c>
      <c r="I42" s="8">
        <v>0.0</v>
      </c>
      <c r="J42" s="8">
        <v>0.0</v>
      </c>
      <c r="K42" s="8">
        <v>0.0</v>
      </c>
      <c r="L42" s="8">
        <v>8.0</v>
      </c>
    </row>
    <row r="43">
      <c r="A43" s="8" t="s">
        <v>51</v>
      </c>
      <c r="B43" s="8" t="s">
        <v>45</v>
      </c>
      <c r="C43" s="8">
        <v>30.0</v>
      </c>
      <c r="D43" s="8">
        <v>59.0</v>
      </c>
      <c r="E43" s="8">
        <v>1.0</v>
      </c>
      <c r="F43" s="8">
        <v>9.0</v>
      </c>
      <c r="G43" s="9">
        <f t="shared" si="1"/>
        <v>3.333333333</v>
      </c>
      <c r="H43" s="8">
        <v>59.0</v>
      </c>
      <c r="I43" s="8">
        <v>0.0</v>
      </c>
      <c r="J43" s="8">
        <v>0.0</v>
      </c>
      <c r="K43" s="8">
        <v>0.0</v>
      </c>
      <c r="L43" s="8">
        <v>9.0</v>
      </c>
    </row>
    <row r="44">
      <c r="A44" s="8" t="s">
        <v>96</v>
      </c>
      <c r="B44" s="8" t="s">
        <v>45</v>
      </c>
      <c r="C44" s="8">
        <v>30.0</v>
      </c>
      <c r="D44" s="8">
        <v>64.0</v>
      </c>
      <c r="E44" s="8">
        <v>1.5</v>
      </c>
      <c r="F44" s="8">
        <v>10.0</v>
      </c>
      <c r="G44" s="8">
        <f t="shared" si="1"/>
        <v>3</v>
      </c>
      <c r="H44" s="8">
        <v>64.0</v>
      </c>
      <c r="I44" s="8">
        <v>0.0</v>
      </c>
      <c r="J44" s="8">
        <v>0.0</v>
      </c>
      <c r="K44" s="8">
        <v>1.0</v>
      </c>
      <c r="L44" s="8">
        <v>9.0</v>
      </c>
    </row>
    <row r="45">
      <c r="A45" s="8" t="s">
        <v>106</v>
      </c>
      <c r="B45" s="8" t="s">
        <v>45</v>
      </c>
      <c r="C45" s="8">
        <v>30.0</v>
      </c>
      <c r="D45" s="8">
        <v>60.0</v>
      </c>
      <c r="E45" s="8">
        <v>0.1</v>
      </c>
      <c r="F45" s="8">
        <v>9.0</v>
      </c>
      <c r="G45" s="9">
        <f t="shared" si="1"/>
        <v>3.333333333</v>
      </c>
      <c r="H45" s="8">
        <v>60.0</v>
      </c>
      <c r="I45" s="8">
        <v>0.0</v>
      </c>
      <c r="J45" s="8">
        <v>0.0</v>
      </c>
      <c r="K45" s="8">
        <v>1.0</v>
      </c>
      <c r="L45" s="8">
        <v>8.0</v>
      </c>
    </row>
    <row r="46">
      <c r="A46" s="8" t="s">
        <v>91</v>
      </c>
      <c r="B46" s="8" t="s">
        <v>45</v>
      </c>
      <c r="C46" s="8">
        <v>30.0</v>
      </c>
      <c r="D46" s="8">
        <v>45.0</v>
      </c>
      <c r="E46" s="8">
        <v>0.0</v>
      </c>
      <c r="F46" s="8">
        <v>9.0</v>
      </c>
      <c r="G46" s="9">
        <f t="shared" si="1"/>
        <v>3.333333333</v>
      </c>
      <c r="H46" s="8">
        <v>45.0</v>
      </c>
      <c r="I46" s="8">
        <v>0.0</v>
      </c>
      <c r="J46" s="8">
        <v>0.0</v>
      </c>
      <c r="K46" s="8">
        <v>0.0</v>
      </c>
      <c r="L46" s="8">
        <v>9.0</v>
      </c>
    </row>
    <row r="47">
      <c r="A47" s="8" t="s">
        <v>66</v>
      </c>
      <c r="B47" s="8" t="s">
        <v>45</v>
      </c>
      <c r="C47" s="8">
        <v>40.0</v>
      </c>
      <c r="D47" s="8">
        <v>72.0</v>
      </c>
      <c r="E47" s="8">
        <v>0.0</v>
      </c>
      <c r="F47" s="8">
        <v>12.0</v>
      </c>
      <c r="G47" s="9">
        <f t="shared" si="1"/>
        <v>3.333333333</v>
      </c>
      <c r="H47" s="8">
        <v>72.0</v>
      </c>
      <c r="I47" s="8">
        <v>0.0</v>
      </c>
      <c r="J47" s="8">
        <v>0.0</v>
      </c>
      <c r="K47" s="8">
        <v>0.0</v>
      </c>
      <c r="L47" s="8">
        <v>12.0</v>
      </c>
    </row>
    <row r="48">
      <c r="A48" s="8" t="s">
        <v>75</v>
      </c>
      <c r="B48" s="8" t="s">
        <v>45</v>
      </c>
      <c r="C48" s="8">
        <v>40.0</v>
      </c>
      <c r="D48" s="8">
        <v>79.0</v>
      </c>
      <c r="E48" s="8">
        <v>1.9</v>
      </c>
      <c r="F48" s="8">
        <v>12.0</v>
      </c>
      <c r="G48" s="9">
        <f t="shared" si="1"/>
        <v>3.333333333</v>
      </c>
      <c r="H48" s="8">
        <v>79.0</v>
      </c>
      <c r="I48" s="8">
        <v>0.0</v>
      </c>
      <c r="J48" s="8">
        <v>0.0</v>
      </c>
      <c r="K48" s="8">
        <v>0.0</v>
      </c>
      <c r="L48" s="8">
        <v>12.0</v>
      </c>
    </row>
    <row r="49">
      <c r="A49" s="8" t="s">
        <v>58</v>
      </c>
      <c r="B49" s="8" t="s">
        <v>45</v>
      </c>
      <c r="C49" s="8">
        <v>40.0</v>
      </c>
      <c r="D49" s="8">
        <v>91.0</v>
      </c>
      <c r="E49" s="8">
        <v>1.5</v>
      </c>
      <c r="F49" s="8">
        <v>13.0</v>
      </c>
      <c r="G49" s="9">
        <f t="shared" si="1"/>
        <v>3.076923077</v>
      </c>
      <c r="H49" s="8">
        <v>91.0</v>
      </c>
      <c r="I49" s="8">
        <v>0.0</v>
      </c>
      <c r="J49" s="8">
        <v>0.0</v>
      </c>
      <c r="K49" s="8">
        <v>0.0</v>
      </c>
      <c r="L49" s="8">
        <v>13.0</v>
      </c>
    </row>
    <row r="50">
      <c r="A50" s="8" t="s">
        <v>108</v>
      </c>
      <c r="B50" s="8" t="s">
        <v>45</v>
      </c>
      <c r="C50" s="8">
        <v>40.0</v>
      </c>
      <c r="D50" s="8">
        <v>89.0</v>
      </c>
      <c r="E50" s="8">
        <v>0.1</v>
      </c>
      <c r="F50" s="8">
        <v>13.0</v>
      </c>
      <c r="G50" s="9">
        <f t="shared" si="1"/>
        <v>3.076923077</v>
      </c>
      <c r="H50" s="8">
        <v>89.0</v>
      </c>
      <c r="I50" s="8">
        <v>0.0</v>
      </c>
      <c r="J50" s="8">
        <v>0.0</v>
      </c>
      <c r="K50" s="8">
        <v>3.0</v>
      </c>
      <c r="L50" s="8">
        <v>10.0</v>
      </c>
    </row>
    <row r="51">
      <c r="A51" s="8" t="s">
        <v>122</v>
      </c>
      <c r="B51" s="8" t="s">
        <v>45</v>
      </c>
      <c r="C51" s="8">
        <v>40.0</v>
      </c>
      <c r="D51" s="8">
        <v>92.0</v>
      </c>
      <c r="E51" s="8">
        <v>2.9</v>
      </c>
      <c r="F51" s="8">
        <v>14.0</v>
      </c>
      <c r="G51" s="9">
        <f t="shared" si="1"/>
        <v>2.857142857</v>
      </c>
      <c r="H51" s="8">
        <v>92.0</v>
      </c>
      <c r="I51" s="8">
        <v>0.0</v>
      </c>
      <c r="J51" s="8">
        <v>0.0</v>
      </c>
      <c r="K51" s="8">
        <v>2.0</v>
      </c>
      <c r="L51" s="8">
        <v>12.0</v>
      </c>
    </row>
    <row r="52">
      <c r="A52" s="8" t="s">
        <v>88</v>
      </c>
      <c r="B52" s="8" t="s">
        <v>45</v>
      </c>
      <c r="C52" s="8">
        <v>50.0</v>
      </c>
      <c r="D52" s="8">
        <v>115.0</v>
      </c>
      <c r="E52" s="8">
        <v>3.6</v>
      </c>
      <c r="F52" s="8">
        <v>16.0</v>
      </c>
      <c r="G52" s="9">
        <f t="shared" si="1"/>
        <v>3.125</v>
      </c>
      <c r="H52" s="8">
        <v>115.0</v>
      </c>
      <c r="I52" s="8">
        <v>0.0</v>
      </c>
      <c r="J52" s="8">
        <v>0.0</v>
      </c>
      <c r="K52" s="8">
        <v>2.0</v>
      </c>
      <c r="L52" s="8">
        <v>14.0</v>
      </c>
    </row>
    <row r="53">
      <c r="A53" s="8" t="s">
        <v>135</v>
      </c>
      <c r="B53" s="8" t="s">
        <v>45</v>
      </c>
      <c r="C53" s="8">
        <v>50.0</v>
      </c>
      <c r="D53" s="8">
        <v>123.0</v>
      </c>
      <c r="E53" s="8">
        <v>3.3</v>
      </c>
      <c r="F53" s="8">
        <v>14.0</v>
      </c>
      <c r="G53" s="9">
        <f t="shared" si="1"/>
        <v>3.571428571</v>
      </c>
      <c r="H53" s="8">
        <v>123.0</v>
      </c>
      <c r="I53" s="8">
        <v>0.0</v>
      </c>
      <c r="J53" s="8">
        <v>0.0</v>
      </c>
      <c r="K53" s="8">
        <v>0.0</v>
      </c>
      <c r="L53" s="8">
        <v>14.0</v>
      </c>
    </row>
    <row r="54">
      <c r="A54" s="8" t="s">
        <v>54</v>
      </c>
      <c r="B54" s="8" t="s">
        <v>45</v>
      </c>
      <c r="C54" s="8">
        <v>50.0</v>
      </c>
      <c r="D54" s="8">
        <v>121.0</v>
      </c>
      <c r="E54" s="8">
        <v>4.7</v>
      </c>
      <c r="F54" s="8">
        <v>16.0</v>
      </c>
      <c r="G54" s="9">
        <f t="shared" si="1"/>
        <v>3.125</v>
      </c>
      <c r="H54" s="8">
        <v>121.0</v>
      </c>
      <c r="I54" s="8">
        <v>0.0</v>
      </c>
      <c r="J54" s="8">
        <v>0.0</v>
      </c>
      <c r="K54" s="8">
        <v>3.0</v>
      </c>
      <c r="L54" s="8">
        <v>13.0</v>
      </c>
    </row>
    <row r="55">
      <c r="A55" s="8" t="s">
        <v>148</v>
      </c>
      <c r="B55" s="8" t="s">
        <v>45</v>
      </c>
      <c r="C55" s="8">
        <v>50.0</v>
      </c>
      <c r="D55" s="8">
        <v>96.0</v>
      </c>
      <c r="E55" s="8">
        <v>0.0</v>
      </c>
      <c r="F55" s="8">
        <v>16.0</v>
      </c>
      <c r="G55" s="9">
        <f t="shared" si="1"/>
        <v>3.125</v>
      </c>
      <c r="H55" s="8">
        <v>96.0</v>
      </c>
      <c r="I55" s="8">
        <v>0.0</v>
      </c>
      <c r="J55" s="8">
        <v>0.0</v>
      </c>
      <c r="K55" s="8">
        <v>1.0</v>
      </c>
      <c r="L55" s="8">
        <v>15.0</v>
      </c>
    </row>
    <row r="56">
      <c r="A56" s="8" t="s">
        <v>76</v>
      </c>
      <c r="B56" s="8" t="s">
        <v>45</v>
      </c>
      <c r="C56" s="8">
        <v>50.0</v>
      </c>
      <c r="D56" s="8">
        <v>123.0</v>
      </c>
      <c r="E56" s="8">
        <v>4.6</v>
      </c>
      <c r="F56" s="8">
        <v>16.0</v>
      </c>
      <c r="G56" s="9">
        <f t="shared" si="1"/>
        <v>3.125</v>
      </c>
      <c r="H56" s="8">
        <v>123.0</v>
      </c>
      <c r="I56" s="8">
        <v>0.0</v>
      </c>
      <c r="J56" s="8">
        <v>0.0</v>
      </c>
      <c r="K56" s="8">
        <v>1.0</v>
      </c>
      <c r="L56" s="8">
        <v>15.0</v>
      </c>
    </row>
    <row r="57">
      <c r="A57" s="8" t="s">
        <v>62</v>
      </c>
      <c r="B57" s="8" t="s">
        <v>45</v>
      </c>
      <c r="C57" s="8">
        <v>75.0</v>
      </c>
      <c r="D57" s="8">
        <v>184.0</v>
      </c>
      <c r="E57" s="8">
        <v>0.0</v>
      </c>
      <c r="F57" s="8">
        <v>22.0</v>
      </c>
      <c r="G57" s="9">
        <f t="shared" si="1"/>
        <v>3.409090909</v>
      </c>
      <c r="H57" s="8">
        <v>184.0</v>
      </c>
      <c r="I57" s="8">
        <v>0.0</v>
      </c>
      <c r="J57" s="8">
        <v>1.0</v>
      </c>
      <c r="K57" s="8">
        <v>2.0</v>
      </c>
      <c r="L57" s="8">
        <v>19.0</v>
      </c>
    </row>
    <row r="58">
      <c r="A58" s="8" t="s">
        <v>72</v>
      </c>
      <c r="B58" s="8" t="s">
        <v>45</v>
      </c>
      <c r="C58" s="8">
        <v>75.0</v>
      </c>
      <c r="D58" s="8">
        <v>150.0</v>
      </c>
      <c r="E58" s="8">
        <v>0.0</v>
      </c>
      <c r="F58" s="8">
        <v>25.0</v>
      </c>
      <c r="G58" s="8">
        <f t="shared" si="1"/>
        <v>3</v>
      </c>
      <c r="H58" s="8">
        <v>150.0</v>
      </c>
      <c r="I58" s="8">
        <v>0.0</v>
      </c>
      <c r="J58" s="8">
        <v>0.0</v>
      </c>
      <c r="K58" s="8">
        <v>4.0</v>
      </c>
      <c r="L58" s="8">
        <v>21.0</v>
      </c>
    </row>
    <row r="59">
      <c r="A59" s="8" t="s">
        <v>74</v>
      </c>
      <c r="B59" s="8" t="s">
        <v>45</v>
      </c>
      <c r="C59" s="8">
        <v>75.0</v>
      </c>
      <c r="D59" s="8">
        <v>191.0</v>
      </c>
      <c r="E59" s="8">
        <v>7.0</v>
      </c>
      <c r="F59" s="8">
        <v>24.0</v>
      </c>
      <c r="G59" s="9">
        <f t="shared" si="1"/>
        <v>3.125</v>
      </c>
      <c r="H59" s="8">
        <v>191.0</v>
      </c>
      <c r="I59" s="8">
        <v>0.0</v>
      </c>
      <c r="J59" s="8">
        <v>0.0</v>
      </c>
      <c r="K59" s="8">
        <v>2.0</v>
      </c>
      <c r="L59" s="8">
        <v>22.0</v>
      </c>
    </row>
    <row r="60">
      <c r="A60" s="8" t="s">
        <v>120</v>
      </c>
      <c r="B60" s="8" t="s">
        <v>45</v>
      </c>
      <c r="C60" s="8">
        <v>75.0</v>
      </c>
      <c r="D60" s="8">
        <v>175.0</v>
      </c>
      <c r="E60" s="8">
        <v>2.6</v>
      </c>
      <c r="F60" s="8">
        <v>23.0</v>
      </c>
      <c r="G60" s="9">
        <f t="shared" si="1"/>
        <v>3.260869565</v>
      </c>
      <c r="H60" s="8">
        <v>175.0</v>
      </c>
      <c r="I60" s="8">
        <v>0.0</v>
      </c>
      <c r="J60" s="8">
        <v>0.0</v>
      </c>
      <c r="K60" s="8">
        <v>4.0</v>
      </c>
      <c r="L60" s="8">
        <v>19.0</v>
      </c>
    </row>
    <row r="61">
      <c r="A61" s="8" t="s">
        <v>119</v>
      </c>
      <c r="B61" s="8" t="s">
        <v>45</v>
      </c>
      <c r="C61" s="8">
        <v>75.0</v>
      </c>
      <c r="D61" s="8">
        <v>189.0</v>
      </c>
      <c r="E61" s="8">
        <v>4.2</v>
      </c>
      <c r="F61" s="8">
        <v>23.0</v>
      </c>
      <c r="G61" s="9">
        <f t="shared" si="1"/>
        <v>3.260869565</v>
      </c>
      <c r="H61" s="8">
        <v>189.0</v>
      </c>
      <c r="I61" s="8">
        <v>0.0</v>
      </c>
      <c r="J61" s="8">
        <v>1.0</v>
      </c>
      <c r="K61" s="8">
        <v>2.0</v>
      </c>
      <c r="L61" s="8">
        <v>20.0</v>
      </c>
    </row>
    <row r="62">
      <c r="A62" s="8" t="s">
        <v>101</v>
      </c>
      <c r="B62" s="8" t="s">
        <v>45</v>
      </c>
      <c r="C62" s="8">
        <v>100.0</v>
      </c>
      <c r="D62" s="8">
        <v>293.0</v>
      </c>
      <c r="E62" s="8">
        <v>10.4</v>
      </c>
      <c r="F62" s="8">
        <v>29.0</v>
      </c>
      <c r="G62" s="9">
        <f t="shared" si="1"/>
        <v>3.448275862</v>
      </c>
      <c r="H62" s="8">
        <v>293.0</v>
      </c>
      <c r="I62" s="8">
        <v>0.0</v>
      </c>
      <c r="J62" s="8">
        <v>0.0</v>
      </c>
      <c r="K62" s="8">
        <v>6.0</v>
      </c>
      <c r="L62" s="8">
        <v>23.0</v>
      </c>
    </row>
    <row r="63">
      <c r="A63" s="8" t="s">
        <v>117</v>
      </c>
      <c r="B63" s="8" t="s">
        <v>45</v>
      </c>
      <c r="C63" s="8">
        <v>100.0</v>
      </c>
      <c r="D63" s="8">
        <v>238.0</v>
      </c>
      <c r="E63" s="8">
        <v>2.3</v>
      </c>
      <c r="F63" s="8">
        <v>33.0</v>
      </c>
      <c r="G63" s="9">
        <f t="shared" si="1"/>
        <v>3.03030303</v>
      </c>
      <c r="H63" s="8">
        <v>238.0</v>
      </c>
      <c r="I63" s="8">
        <v>0.0</v>
      </c>
      <c r="J63" s="8">
        <v>0.0</v>
      </c>
      <c r="K63" s="8">
        <v>4.0</v>
      </c>
      <c r="L63" s="8">
        <v>29.0</v>
      </c>
    </row>
    <row r="64">
      <c r="A64" s="8" t="s">
        <v>98</v>
      </c>
      <c r="B64" s="8" t="s">
        <v>45</v>
      </c>
      <c r="C64" s="8">
        <v>100.0</v>
      </c>
      <c r="D64" s="8">
        <v>273.0</v>
      </c>
      <c r="E64" s="8">
        <v>9.3</v>
      </c>
      <c r="F64" s="8">
        <v>30.0</v>
      </c>
      <c r="G64" s="9">
        <f t="shared" si="1"/>
        <v>3.333333333</v>
      </c>
      <c r="H64" s="8">
        <v>273.0</v>
      </c>
      <c r="I64" s="8">
        <v>0.0</v>
      </c>
      <c r="J64" s="8">
        <v>1.0</v>
      </c>
      <c r="K64" s="8">
        <v>5.0</v>
      </c>
      <c r="L64" s="8">
        <v>24.0</v>
      </c>
    </row>
    <row r="65">
      <c r="A65" s="8" t="s">
        <v>143</v>
      </c>
      <c r="B65" s="8" t="s">
        <v>45</v>
      </c>
      <c r="C65" s="8">
        <v>100.0</v>
      </c>
      <c r="D65" s="8">
        <v>243.0</v>
      </c>
      <c r="E65" s="8">
        <v>5.9</v>
      </c>
      <c r="F65" s="8">
        <v>32.0</v>
      </c>
      <c r="G65" s="9">
        <f t="shared" si="1"/>
        <v>3.125</v>
      </c>
      <c r="H65" s="8">
        <v>243.0</v>
      </c>
      <c r="I65" s="8">
        <v>0.0</v>
      </c>
      <c r="J65" s="8">
        <v>0.0</v>
      </c>
      <c r="K65" s="8">
        <v>3.0</v>
      </c>
      <c r="L65" s="8">
        <v>29.0</v>
      </c>
    </row>
    <row r="66">
      <c r="A66" s="8" t="s">
        <v>92</v>
      </c>
      <c r="B66" s="8" t="s">
        <v>45</v>
      </c>
      <c r="C66" s="8">
        <v>100.0</v>
      </c>
      <c r="D66" s="8">
        <v>253.0</v>
      </c>
      <c r="E66" s="8">
        <v>7.4</v>
      </c>
      <c r="F66" s="8">
        <v>29.0</v>
      </c>
      <c r="G66" s="9">
        <f t="shared" si="1"/>
        <v>3.448275862</v>
      </c>
      <c r="H66" s="8">
        <v>253.0</v>
      </c>
      <c r="I66" s="8">
        <v>0.0</v>
      </c>
      <c r="J66" s="8">
        <v>0.0</v>
      </c>
      <c r="K66" s="8">
        <v>1.0</v>
      </c>
      <c r="L66" s="8">
        <v>28.0</v>
      </c>
    </row>
    <row r="67">
      <c r="A67" s="8" t="s">
        <v>97</v>
      </c>
      <c r="B67" s="8" t="s">
        <v>45</v>
      </c>
      <c r="C67" s="8">
        <v>125.0</v>
      </c>
      <c r="D67" s="8">
        <v>363.0</v>
      </c>
      <c r="E67" s="8">
        <v>13.8</v>
      </c>
      <c r="F67" s="8">
        <v>37.0</v>
      </c>
      <c r="G67" s="9">
        <f t="shared" si="1"/>
        <v>3.378378378</v>
      </c>
      <c r="H67" s="8">
        <v>363.0</v>
      </c>
      <c r="I67" s="8">
        <v>0.0</v>
      </c>
      <c r="J67" s="8">
        <v>0.0</v>
      </c>
      <c r="K67" s="8">
        <v>6.0</v>
      </c>
      <c r="L67" s="8">
        <v>31.0</v>
      </c>
    </row>
    <row r="68">
      <c r="A68" s="8" t="s">
        <v>121</v>
      </c>
      <c r="B68" s="8" t="s">
        <v>45</v>
      </c>
      <c r="C68" s="8">
        <v>125.0</v>
      </c>
      <c r="D68" s="8">
        <v>372.0</v>
      </c>
      <c r="E68" s="8">
        <v>35.0</v>
      </c>
      <c r="F68" s="8">
        <v>39.0</v>
      </c>
      <c r="G68" s="9">
        <f t="shared" si="1"/>
        <v>3.205128205</v>
      </c>
      <c r="H68" s="8">
        <v>372.0</v>
      </c>
      <c r="I68" s="8">
        <v>0.0</v>
      </c>
      <c r="J68" s="8">
        <v>0.0</v>
      </c>
      <c r="K68" s="8">
        <v>9.0</v>
      </c>
      <c r="L68" s="8">
        <v>30.0</v>
      </c>
    </row>
    <row r="69">
      <c r="A69" s="8" t="s">
        <v>116</v>
      </c>
      <c r="B69" s="8" t="s">
        <v>45</v>
      </c>
      <c r="C69" s="8">
        <v>125.0</v>
      </c>
      <c r="D69" s="8">
        <v>363.0</v>
      </c>
      <c r="E69" s="8">
        <v>48.6</v>
      </c>
      <c r="F69" s="8">
        <v>40.0</v>
      </c>
      <c r="G69" s="9">
        <f t="shared" si="1"/>
        <v>3.125</v>
      </c>
      <c r="H69" s="8">
        <v>363.0</v>
      </c>
      <c r="I69" s="8">
        <v>0.0</v>
      </c>
      <c r="J69" s="8">
        <v>1.0</v>
      </c>
      <c r="K69" s="8">
        <v>7.0</v>
      </c>
      <c r="L69" s="8">
        <v>32.0</v>
      </c>
    </row>
    <row r="70">
      <c r="A70" s="8" t="s">
        <v>102</v>
      </c>
      <c r="B70" s="8" t="s">
        <v>45</v>
      </c>
      <c r="C70" s="8">
        <v>125.0</v>
      </c>
      <c r="D70" s="8">
        <v>331.0</v>
      </c>
      <c r="E70" s="8">
        <v>21.6</v>
      </c>
      <c r="F70" s="8">
        <v>38.0</v>
      </c>
      <c r="G70" s="9">
        <f t="shared" si="1"/>
        <v>3.289473684</v>
      </c>
      <c r="H70" s="8">
        <v>331.0</v>
      </c>
      <c r="I70" s="8">
        <v>0.0</v>
      </c>
      <c r="J70" s="8">
        <v>0.0</v>
      </c>
      <c r="K70" s="8">
        <v>5.0</v>
      </c>
      <c r="L70" s="8">
        <v>33.0</v>
      </c>
    </row>
    <row r="71">
      <c r="A71" s="8" t="s">
        <v>147</v>
      </c>
      <c r="B71" s="8" t="s">
        <v>45</v>
      </c>
      <c r="C71" s="8">
        <v>125.0</v>
      </c>
      <c r="D71" s="8">
        <v>372.0</v>
      </c>
      <c r="E71" s="8">
        <v>15.8</v>
      </c>
      <c r="F71" s="8">
        <v>38.0</v>
      </c>
      <c r="G71" s="9">
        <f t="shared" si="1"/>
        <v>3.289473684</v>
      </c>
      <c r="H71" s="8">
        <v>372.0</v>
      </c>
      <c r="I71" s="8">
        <v>0.0</v>
      </c>
      <c r="J71" s="8">
        <v>0.0</v>
      </c>
      <c r="K71" s="8">
        <v>9.0</v>
      </c>
      <c r="L71" s="8">
        <v>29.0</v>
      </c>
    </row>
    <row r="72">
      <c r="A72" s="8" t="s">
        <v>146</v>
      </c>
      <c r="B72" s="8" t="s">
        <v>45</v>
      </c>
      <c r="C72" s="8">
        <v>150.0</v>
      </c>
      <c r="D72" s="8">
        <v>412.0</v>
      </c>
      <c r="E72" s="8">
        <v>21.4</v>
      </c>
      <c r="F72" s="8">
        <v>46.0</v>
      </c>
      <c r="G72" s="9">
        <f t="shared" si="1"/>
        <v>3.260869565</v>
      </c>
      <c r="H72" s="8">
        <v>412.0</v>
      </c>
      <c r="I72" s="8">
        <v>0.0</v>
      </c>
      <c r="J72" s="8">
        <v>0.0</v>
      </c>
      <c r="K72" s="8">
        <v>8.0</v>
      </c>
      <c r="L72" s="8">
        <v>38.0</v>
      </c>
    </row>
    <row r="73">
      <c r="A73" s="8" t="s">
        <v>89</v>
      </c>
      <c r="B73" s="8" t="s">
        <v>45</v>
      </c>
      <c r="C73" s="8">
        <v>150.0</v>
      </c>
      <c r="D73" s="8">
        <v>407.0</v>
      </c>
      <c r="E73" s="8">
        <v>13.6</v>
      </c>
      <c r="F73" s="8">
        <v>46.0</v>
      </c>
      <c r="G73" s="9">
        <f t="shared" si="1"/>
        <v>3.260869565</v>
      </c>
      <c r="H73" s="8">
        <v>407.0</v>
      </c>
      <c r="I73" s="8">
        <v>0.0</v>
      </c>
      <c r="J73" s="8">
        <v>1.0</v>
      </c>
      <c r="K73" s="8">
        <v>6.0</v>
      </c>
      <c r="L73" s="8">
        <v>39.0</v>
      </c>
    </row>
    <row r="74">
      <c r="A74" s="8" t="s">
        <v>47</v>
      </c>
      <c r="B74" s="8" t="s">
        <v>45</v>
      </c>
      <c r="C74" s="8">
        <v>150.0</v>
      </c>
      <c r="D74" s="8">
        <v>403.0</v>
      </c>
      <c r="E74" s="8">
        <v>0.2</v>
      </c>
      <c r="F74" s="8">
        <v>45.0</v>
      </c>
      <c r="G74" s="9">
        <f t="shared" si="1"/>
        <v>3.333333333</v>
      </c>
      <c r="H74" s="8">
        <v>403.0</v>
      </c>
      <c r="I74" s="8">
        <v>0.0</v>
      </c>
      <c r="J74" s="8">
        <v>1.0</v>
      </c>
      <c r="K74" s="8">
        <v>7.0</v>
      </c>
      <c r="L74" s="8">
        <v>37.0</v>
      </c>
    </row>
    <row r="75">
      <c r="A75" s="8" t="s">
        <v>137</v>
      </c>
      <c r="B75" s="8" t="s">
        <v>45</v>
      </c>
      <c r="C75" s="8">
        <v>150.0</v>
      </c>
      <c r="D75" s="8">
        <v>444.0</v>
      </c>
      <c r="E75" s="8">
        <v>25.9</v>
      </c>
      <c r="F75" s="8">
        <v>46.0</v>
      </c>
      <c r="G75" s="9">
        <f t="shared" si="1"/>
        <v>3.260869565</v>
      </c>
      <c r="H75" s="8">
        <v>444.0</v>
      </c>
      <c r="I75" s="8">
        <v>0.0</v>
      </c>
      <c r="J75" s="8">
        <v>2.0</v>
      </c>
      <c r="K75" s="8">
        <v>9.0</v>
      </c>
      <c r="L75" s="8">
        <v>35.0</v>
      </c>
    </row>
    <row r="76">
      <c r="A76" s="8" t="s">
        <v>136</v>
      </c>
      <c r="B76" s="8" t="s">
        <v>45</v>
      </c>
      <c r="C76" s="8">
        <v>150.0</v>
      </c>
      <c r="D76" s="8">
        <v>387.0</v>
      </c>
      <c r="E76" s="8">
        <v>0.0</v>
      </c>
      <c r="F76" s="8">
        <v>47.0</v>
      </c>
      <c r="G76" s="9">
        <f t="shared" si="1"/>
        <v>3.191489362</v>
      </c>
      <c r="H76" s="8">
        <v>387.0</v>
      </c>
      <c r="I76" s="8">
        <v>0.0</v>
      </c>
      <c r="J76" s="8">
        <v>0.0</v>
      </c>
      <c r="K76" s="8">
        <v>10.0</v>
      </c>
      <c r="L76" s="8">
        <v>37.0</v>
      </c>
    </row>
    <row r="77">
      <c r="A77" s="8" t="s">
        <v>128</v>
      </c>
      <c r="B77" s="8" t="s">
        <v>45</v>
      </c>
      <c r="C77" s="8">
        <v>200.0</v>
      </c>
      <c r="D77" s="8">
        <v>593.0</v>
      </c>
      <c r="E77" s="8">
        <v>12.6</v>
      </c>
      <c r="F77" s="8">
        <v>61.0</v>
      </c>
      <c r="G77" s="9">
        <f t="shared" si="1"/>
        <v>3.278688525</v>
      </c>
      <c r="H77" s="8">
        <v>593.0</v>
      </c>
      <c r="I77" s="8">
        <v>0.0</v>
      </c>
      <c r="J77" s="8">
        <v>1.0</v>
      </c>
      <c r="K77" s="8">
        <v>19.0</v>
      </c>
      <c r="L77" s="8">
        <v>41.0</v>
      </c>
    </row>
    <row r="78">
      <c r="A78" s="8" t="s">
        <v>68</v>
      </c>
      <c r="B78" s="8" t="s">
        <v>45</v>
      </c>
      <c r="C78" s="8">
        <v>200.0</v>
      </c>
      <c r="D78" s="8">
        <v>598.0</v>
      </c>
      <c r="E78" s="8">
        <v>28.3</v>
      </c>
      <c r="F78" s="8">
        <v>61.0</v>
      </c>
      <c r="G78" s="9">
        <f t="shared" si="1"/>
        <v>3.278688525</v>
      </c>
      <c r="H78" s="8">
        <v>598.0</v>
      </c>
      <c r="I78" s="8">
        <v>0.0</v>
      </c>
      <c r="J78" s="8">
        <v>3.0</v>
      </c>
      <c r="K78" s="8">
        <v>15.0</v>
      </c>
      <c r="L78" s="8">
        <v>43.0</v>
      </c>
    </row>
    <row r="79">
      <c r="A79" s="8" t="s">
        <v>112</v>
      </c>
      <c r="B79" s="8" t="s">
        <v>45</v>
      </c>
      <c r="C79" s="8">
        <v>200.0</v>
      </c>
      <c r="D79" s="8">
        <v>629.0</v>
      </c>
      <c r="E79" s="8">
        <v>50.9</v>
      </c>
      <c r="F79" s="8">
        <v>59.0</v>
      </c>
      <c r="G79" s="9">
        <f t="shared" si="1"/>
        <v>3.389830508</v>
      </c>
      <c r="H79" s="8">
        <v>629.0</v>
      </c>
      <c r="I79" s="8">
        <v>0.0</v>
      </c>
      <c r="J79" s="8">
        <v>1.0</v>
      </c>
      <c r="K79" s="8">
        <v>18.0</v>
      </c>
      <c r="L79" s="8">
        <v>40.0</v>
      </c>
    </row>
    <row r="80">
      <c r="A80" s="8" t="s">
        <v>145</v>
      </c>
      <c r="B80" s="8" t="s">
        <v>45</v>
      </c>
      <c r="C80" s="8">
        <v>200.0</v>
      </c>
      <c r="D80" s="8">
        <v>583.0</v>
      </c>
      <c r="E80" s="8">
        <v>30.3</v>
      </c>
      <c r="F80" s="8">
        <v>60.0</v>
      </c>
      <c r="G80" s="9">
        <f t="shared" si="1"/>
        <v>3.333333333</v>
      </c>
      <c r="H80" s="8">
        <v>583.0</v>
      </c>
      <c r="I80" s="8">
        <v>0.0</v>
      </c>
      <c r="J80" s="8">
        <v>0.0</v>
      </c>
      <c r="K80" s="8">
        <v>15.0</v>
      </c>
      <c r="L80" s="8">
        <v>45.0</v>
      </c>
    </row>
    <row r="81">
      <c r="A81" s="8" t="s">
        <v>56</v>
      </c>
      <c r="B81" s="8" t="s">
        <v>45</v>
      </c>
      <c r="C81" s="8">
        <v>200.0</v>
      </c>
      <c r="D81" s="8">
        <v>541.0</v>
      </c>
      <c r="E81" s="8">
        <v>7.7</v>
      </c>
      <c r="F81" s="8">
        <v>61.0</v>
      </c>
      <c r="G81" s="9">
        <f t="shared" si="1"/>
        <v>3.278688525</v>
      </c>
      <c r="H81" s="8">
        <v>541.0</v>
      </c>
      <c r="I81" s="8">
        <v>0.0</v>
      </c>
      <c r="J81" s="8">
        <v>1.0</v>
      </c>
      <c r="K81" s="8">
        <v>10.0</v>
      </c>
      <c r="L81" s="8">
        <v>50.0</v>
      </c>
    </row>
    <row r="82">
      <c r="A82" s="8" t="s">
        <v>77</v>
      </c>
      <c r="B82" s="8" t="s">
        <v>45</v>
      </c>
      <c r="C82" s="8">
        <v>250.0</v>
      </c>
      <c r="D82" s="8">
        <v>727.0</v>
      </c>
      <c r="E82" s="8">
        <v>38.2</v>
      </c>
      <c r="F82" s="8">
        <v>76.0</v>
      </c>
      <c r="G82" s="9">
        <f t="shared" si="1"/>
        <v>3.289473684</v>
      </c>
      <c r="H82" s="8">
        <v>727.0</v>
      </c>
      <c r="I82" s="8">
        <v>0.0</v>
      </c>
      <c r="J82" s="8">
        <v>2.0</v>
      </c>
      <c r="K82" s="8">
        <v>18.0</v>
      </c>
      <c r="L82" s="8">
        <v>56.0</v>
      </c>
    </row>
    <row r="83">
      <c r="A83" s="8" t="s">
        <v>67</v>
      </c>
      <c r="B83" s="8" t="s">
        <v>45</v>
      </c>
      <c r="C83" s="8">
        <v>250.0</v>
      </c>
      <c r="D83" s="8">
        <v>704.0</v>
      </c>
      <c r="E83" s="8">
        <v>0.1</v>
      </c>
      <c r="F83" s="8">
        <v>74.0</v>
      </c>
      <c r="G83" s="9">
        <f t="shared" si="1"/>
        <v>3.378378378</v>
      </c>
      <c r="H83" s="8">
        <v>704.0</v>
      </c>
      <c r="I83" s="8">
        <v>0.0</v>
      </c>
      <c r="J83" s="8">
        <v>2.0</v>
      </c>
      <c r="K83" s="8">
        <v>14.0</v>
      </c>
      <c r="L83" s="8">
        <v>58.0</v>
      </c>
    </row>
    <row r="84">
      <c r="A84" s="8" t="s">
        <v>70</v>
      </c>
      <c r="B84" s="8" t="s">
        <v>45</v>
      </c>
      <c r="C84" s="8">
        <v>250.0</v>
      </c>
      <c r="D84" s="8">
        <v>697.0</v>
      </c>
      <c r="E84" s="8">
        <v>32.3</v>
      </c>
      <c r="F84" s="8">
        <v>74.0</v>
      </c>
      <c r="G84" s="9">
        <f t="shared" si="1"/>
        <v>3.378378378</v>
      </c>
      <c r="H84" s="8">
        <v>697.0</v>
      </c>
      <c r="I84" s="8">
        <v>0.0</v>
      </c>
      <c r="J84" s="8">
        <v>3.0</v>
      </c>
      <c r="K84" s="8">
        <v>22.0</v>
      </c>
      <c r="L84" s="8">
        <v>49.0</v>
      </c>
    </row>
    <row r="85">
      <c r="A85" s="8" t="s">
        <v>104</v>
      </c>
      <c r="B85" s="8" t="s">
        <v>45</v>
      </c>
      <c r="C85" s="8">
        <v>250.0</v>
      </c>
      <c r="D85" s="8">
        <v>727.0</v>
      </c>
      <c r="E85" s="8">
        <v>18.4</v>
      </c>
      <c r="F85" s="8">
        <v>74.0</v>
      </c>
      <c r="G85" s="9">
        <f t="shared" si="1"/>
        <v>3.378378378</v>
      </c>
      <c r="H85" s="8">
        <v>727.0</v>
      </c>
      <c r="I85" s="8">
        <v>0.0</v>
      </c>
      <c r="J85" s="8">
        <v>0.0</v>
      </c>
      <c r="K85" s="8">
        <v>14.0</v>
      </c>
      <c r="L85" s="8">
        <v>60.0</v>
      </c>
    </row>
    <row r="86">
      <c r="A86" s="8" t="s">
        <v>84</v>
      </c>
      <c r="B86" s="8" t="s">
        <v>45</v>
      </c>
      <c r="C86" s="8">
        <v>250.0</v>
      </c>
      <c r="D86" s="8">
        <v>718.0</v>
      </c>
      <c r="E86" s="8">
        <v>19.5</v>
      </c>
      <c r="F86" s="8">
        <v>74.0</v>
      </c>
      <c r="G86" s="9">
        <f t="shared" si="1"/>
        <v>3.378378378</v>
      </c>
      <c r="H86" s="8">
        <v>718.0</v>
      </c>
      <c r="I86" s="8">
        <v>0.0</v>
      </c>
      <c r="J86" s="8">
        <v>2.0</v>
      </c>
      <c r="K86" s="8">
        <v>16.0</v>
      </c>
      <c r="L86" s="8">
        <v>56.0</v>
      </c>
    </row>
    <row r="87">
      <c r="A87" s="8" t="s">
        <v>107</v>
      </c>
      <c r="B87" s="8" t="s">
        <v>45</v>
      </c>
      <c r="C87" s="8">
        <v>300.0</v>
      </c>
      <c r="D87" s="8">
        <v>827.0</v>
      </c>
      <c r="E87" s="8">
        <v>22.9</v>
      </c>
      <c r="F87" s="8">
        <v>89.0</v>
      </c>
      <c r="G87" s="9">
        <f t="shared" si="1"/>
        <v>3.370786517</v>
      </c>
      <c r="H87" s="8">
        <v>827.0</v>
      </c>
      <c r="I87" s="8">
        <v>0.0</v>
      </c>
      <c r="J87" s="8">
        <v>0.0</v>
      </c>
      <c r="K87" s="8">
        <v>16.0</v>
      </c>
      <c r="L87" s="8">
        <v>73.0</v>
      </c>
    </row>
    <row r="88">
      <c r="A88" s="8" t="s">
        <v>80</v>
      </c>
      <c r="B88" s="8" t="s">
        <v>45</v>
      </c>
      <c r="C88" s="8">
        <v>300.0</v>
      </c>
      <c r="D88" s="8">
        <v>848.0</v>
      </c>
      <c r="E88" s="8">
        <v>108.7</v>
      </c>
      <c r="F88" s="8">
        <v>91.0</v>
      </c>
      <c r="G88" s="9">
        <f t="shared" si="1"/>
        <v>3.296703297</v>
      </c>
      <c r="H88" s="8">
        <v>848.0</v>
      </c>
      <c r="I88" s="8">
        <v>0.0</v>
      </c>
      <c r="J88" s="8">
        <v>2.0</v>
      </c>
      <c r="K88" s="8">
        <v>11.0</v>
      </c>
      <c r="L88" s="8">
        <v>78.0</v>
      </c>
    </row>
    <row r="89">
      <c r="A89" s="8" t="s">
        <v>151</v>
      </c>
      <c r="B89" s="8" t="s">
        <v>45</v>
      </c>
      <c r="C89" s="8">
        <v>300.0</v>
      </c>
      <c r="D89" s="8">
        <v>800.0</v>
      </c>
      <c r="E89" s="8">
        <v>56.4</v>
      </c>
      <c r="F89" s="8">
        <v>94.0</v>
      </c>
      <c r="G89" s="9">
        <f t="shared" si="1"/>
        <v>3.191489362</v>
      </c>
      <c r="H89" s="8">
        <v>800.0</v>
      </c>
      <c r="I89" s="8">
        <v>0.0</v>
      </c>
      <c r="J89" s="8">
        <v>1.0</v>
      </c>
      <c r="K89" s="8">
        <v>23.0</v>
      </c>
      <c r="L89" s="8">
        <v>70.0</v>
      </c>
    </row>
    <row r="90">
      <c r="A90" s="8" t="s">
        <v>118</v>
      </c>
      <c r="B90" s="8" t="s">
        <v>45</v>
      </c>
      <c r="C90" s="8">
        <v>300.0</v>
      </c>
      <c r="D90" s="8">
        <v>837.0</v>
      </c>
      <c r="E90" s="8">
        <v>37.2</v>
      </c>
      <c r="F90" s="8">
        <v>90.0</v>
      </c>
      <c r="G90" s="9">
        <f t="shared" si="1"/>
        <v>3.333333333</v>
      </c>
      <c r="H90" s="8">
        <v>837.0</v>
      </c>
      <c r="I90" s="8">
        <v>0.0</v>
      </c>
      <c r="J90" s="8">
        <v>2.0</v>
      </c>
      <c r="K90" s="8">
        <v>14.0</v>
      </c>
      <c r="L90" s="8">
        <v>74.0</v>
      </c>
    </row>
    <row r="91">
      <c r="A91" s="8" t="s">
        <v>152</v>
      </c>
      <c r="B91" s="8" t="s">
        <v>45</v>
      </c>
      <c r="C91" s="8">
        <v>300.0</v>
      </c>
      <c r="D91" s="8">
        <v>781.0</v>
      </c>
      <c r="E91" s="8">
        <v>30.6</v>
      </c>
      <c r="F91" s="8">
        <v>91.0</v>
      </c>
      <c r="G91" s="9">
        <f t="shared" si="1"/>
        <v>3.296703297</v>
      </c>
      <c r="H91" s="8">
        <v>781.0</v>
      </c>
      <c r="I91" s="8">
        <v>0.0</v>
      </c>
      <c r="J91" s="8">
        <v>1.0</v>
      </c>
      <c r="K91" s="8">
        <v>12.0</v>
      </c>
      <c r="L91" s="8">
        <v>78.0</v>
      </c>
    </row>
    <row r="92">
      <c r="A92" s="8" t="s">
        <v>99</v>
      </c>
      <c r="B92" s="8" t="s">
        <v>45</v>
      </c>
      <c r="C92" s="8">
        <v>400.0</v>
      </c>
      <c r="D92" s="8">
        <v>1038.0</v>
      </c>
      <c r="E92" s="8">
        <v>0.3</v>
      </c>
      <c r="F92" s="8">
        <v>120.0</v>
      </c>
      <c r="G92" s="9">
        <f t="shared" si="1"/>
        <v>3.333333333</v>
      </c>
      <c r="H92" s="8">
        <v>1038.0</v>
      </c>
      <c r="I92" s="8">
        <v>0.0</v>
      </c>
      <c r="J92" s="8">
        <v>1.0</v>
      </c>
      <c r="K92" s="8">
        <v>15.0</v>
      </c>
      <c r="L92" s="8">
        <v>104.0</v>
      </c>
    </row>
    <row r="93">
      <c r="A93" s="8" t="s">
        <v>149</v>
      </c>
      <c r="B93" s="8" t="s">
        <v>45</v>
      </c>
      <c r="C93" s="8">
        <v>400.0</v>
      </c>
      <c r="D93" s="8">
        <v>1013.0</v>
      </c>
      <c r="E93" s="8">
        <v>104.0</v>
      </c>
      <c r="F93" s="8">
        <v>121.0</v>
      </c>
      <c r="G93" s="9">
        <f t="shared" si="1"/>
        <v>3.305785124</v>
      </c>
      <c r="H93" s="8">
        <v>1013.0</v>
      </c>
      <c r="I93" s="8">
        <v>0.0</v>
      </c>
      <c r="J93" s="8">
        <v>0.0</v>
      </c>
      <c r="K93" s="8">
        <v>15.0</v>
      </c>
      <c r="L93" s="8">
        <v>106.0</v>
      </c>
    </row>
    <row r="94">
      <c r="A94" s="8" t="s">
        <v>139</v>
      </c>
      <c r="B94" s="8" t="s">
        <v>45</v>
      </c>
      <c r="C94" s="8">
        <v>400.0</v>
      </c>
      <c r="D94" s="8">
        <v>982.0</v>
      </c>
      <c r="E94" s="8">
        <v>41.5</v>
      </c>
      <c r="F94" s="8">
        <v>122.0</v>
      </c>
      <c r="G94" s="9">
        <f t="shared" si="1"/>
        <v>3.278688525</v>
      </c>
      <c r="H94" s="8">
        <v>982.0</v>
      </c>
      <c r="I94" s="8">
        <v>0.0</v>
      </c>
      <c r="J94" s="8">
        <v>0.0</v>
      </c>
      <c r="K94" s="8">
        <v>14.0</v>
      </c>
      <c r="L94" s="8">
        <v>108.0</v>
      </c>
    </row>
    <row r="95">
      <c r="A95" s="8" t="s">
        <v>113</v>
      </c>
      <c r="B95" s="8" t="s">
        <v>45</v>
      </c>
      <c r="C95" s="8">
        <v>400.0</v>
      </c>
      <c r="D95" s="8">
        <v>1045.0</v>
      </c>
      <c r="E95" s="8">
        <v>120.7</v>
      </c>
      <c r="F95" s="8">
        <v>117.0</v>
      </c>
      <c r="G95" s="9">
        <f t="shared" si="1"/>
        <v>3.418803419</v>
      </c>
      <c r="H95" s="8">
        <v>1045.0</v>
      </c>
      <c r="I95" s="8">
        <v>0.0</v>
      </c>
      <c r="J95" s="8">
        <v>1.0</v>
      </c>
      <c r="K95" s="8">
        <v>11.0</v>
      </c>
      <c r="L95" s="8">
        <v>105.0</v>
      </c>
    </row>
    <row r="96">
      <c r="A96" s="8" t="s">
        <v>138</v>
      </c>
      <c r="B96" s="8" t="s">
        <v>45</v>
      </c>
      <c r="C96" s="8">
        <v>400.0</v>
      </c>
      <c r="D96" s="8">
        <v>1051.0</v>
      </c>
      <c r="E96" s="8">
        <v>50.4</v>
      </c>
      <c r="F96" s="8">
        <v>119.0</v>
      </c>
      <c r="G96" s="9">
        <f t="shared" si="1"/>
        <v>3.361344538</v>
      </c>
      <c r="H96" s="8">
        <v>1051.0</v>
      </c>
      <c r="I96" s="8">
        <v>0.0</v>
      </c>
      <c r="J96" s="8">
        <v>1.0</v>
      </c>
      <c r="K96" s="8">
        <v>15.0</v>
      </c>
      <c r="L96" s="8">
        <v>103.0</v>
      </c>
    </row>
    <row r="97">
      <c r="A97" s="8" t="s">
        <v>82</v>
      </c>
      <c r="B97" s="8" t="s">
        <v>45</v>
      </c>
      <c r="C97" s="8">
        <v>500.0</v>
      </c>
      <c r="D97" s="8">
        <v>1240.0</v>
      </c>
      <c r="E97" s="8">
        <v>211.3</v>
      </c>
      <c r="F97" s="8">
        <v>151.0</v>
      </c>
      <c r="G97" s="9">
        <f t="shared" si="1"/>
        <v>3.311258278</v>
      </c>
      <c r="H97" s="8">
        <v>1240.0</v>
      </c>
      <c r="I97" s="8">
        <v>0.0</v>
      </c>
      <c r="J97" s="8">
        <v>1.0</v>
      </c>
      <c r="K97" s="8">
        <v>12.0</v>
      </c>
      <c r="L97" s="8">
        <v>138.0</v>
      </c>
    </row>
    <row r="98">
      <c r="A98" s="8" t="s">
        <v>142</v>
      </c>
      <c r="B98" s="8" t="s">
        <v>45</v>
      </c>
      <c r="C98" s="8">
        <v>500.0</v>
      </c>
      <c r="D98" s="8">
        <v>1261.0</v>
      </c>
      <c r="E98" s="8">
        <v>266.2</v>
      </c>
      <c r="F98" s="8">
        <v>150.0</v>
      </c>
      <c r="G98" s="9">
        <f t="shared" si="1"/>
        <v>3.333333333</v>
      </c>
      <c r="H98" s="8">
        <v>1261.0</v>
      </c>
      <c r="I98" s="8">
        <v>0.0</v>
      </c>
      <c r="J98" s="8">
        <v>0.0</v>
      </c>
      <c r="K98" s="8">
        <v>17.0</v>
      </c>
      <c r="L98" s="8">
        <v>133.0</v>
      </c>
    </row>
    <row r="99">
      <c r="A99" s="8" t="s">
        <v>57</v>
      </c>
      <c r="B99" s="8" t="s">
        <v>45</v>
      </c>
      <c r="C99" s="8">
        <v>500.0</v>
      </c>
      <c r="D99" s="8">
        <v>1266.0</v>
      </c>
      <c r="E99" s="8">
        <v>215.3</v>
      </c>
      <c r="F99" s="8">
        <v>153.0</v>
      </c>
      <c r="G99" s="9">
        <f t="shared" si="1"/>
        <v>3.267973856</v>
      </c>
      <c r="H99" s="8">
        <v>1266.0</v>
      </c>
      <c r="I99" s="8">
        <v>0.0</v>
      </c>
      <c r="J99" s="8">
        <v>0.0</v>
      </c>
      <c r="K99" s="8">
        <v>17.0</v>
      </c>
      <c r="L99" s="8">
        <v>136.0</v>
      </c>
    </row>
    <row r="100">
      <c r="A100" s="8" t="s">
        <v>48</v>
      </c>
      <c r="B100" s="8" t="s">
        <v>45</v>
      </c>
      <c r="C100" s="8">
        <v>500.0</v>
      </c>
      <c r="D100" s="8">
        <v>1254.0</v>
      </c>
      <c r="E100" s="8">
        <v>127.0</v>
      </c>
      <c r="F100" s="8">
        <v>150.0</v>
      </c>
      <c r="G100" s="9">
        <f t="shared" si="1"/>
        <v>3.333333333</v>
      </c>
      <c r="H100" s="8">
        <v>1254.0</v>
      </c>
      <c r="I100" s="8">
        <v>0.0</v>
      </c>
      <c r="J100" s="8">
        <v>0.0</v>
      </c>
      <c r="K100" s="8">
        <v>16.0</v>
      </c>
      <c r="L100" s="8">
        <v>134.0</v>
      </c>
    </row>
    <row r="101">
      <c r="A101" s="8" t="s">
        <v>78</v>
      </c>
      <c r="B101" s="8" t="s">
        <v>45</v>
      </c>
      <c r="C101" s="8">
        <v>500.0</v>
      </c>
      <c r="D101" s="8">
        <v>1235.0</v>
      </c>
      <c r="E101" s="8">
        <v>321.3</v>
      </c>
      <c r="F101" s="8">
        <v>155.0</v>
      </c>
      <c r="G101" s="9">
        <f t="shared" si="1"/>
        <v>3.225806452</v>
      </c>
      <c r="H101" s="8">
        <v>1235.0</v>
      </c>
      <c r="I101" s="8">
        <v>0.0</v>
      </c>
      <c r="J101" s="8">
        <v>0.0</v>
      </c>
      <c r="K101" s="8">
        <v>23.0</v>
      </c>
      <c r="L101" s="8">
        <v>132.0</v>
      </c>
    </row>
    <row r="102">
      <c r="A102" s="8" t="s">
        <v>90</v>
      </c>
      <c r="B102" s="8" t="s">
        <v>45</v>
      </c>
      <c r="C102" s="8">
        <v>750.0</v>
      </c>
      <c r="D102" s="8">
        <v>1713.0</v>
      </c>
      <c r="E102" s="8">
        <v>195.6</v>
      </c>
      <c r="F102" s="8">
        <v>226.0</v>
      </c>
      <c r="G102" s="9">
        <f t="shared" si="1"/>
        <v>3.318584071</v>
      </c>
      <c r="H102" s="8">
        <v>1713.0</v>
      </c>
      <c r="I102" s="8">
        <v>0.0</v>
      </c>
      <c r="J102" s="8">
        <v>0.0</v>
      </c>
      <c r="K102" s="8">
        <v>15.0</v>
      </c>
      <c r="L102" s="8">
        <v>211.0</v>
      </c>
    </row>
    <row r="103">
      <c r="A103" s="8" t="s">
        <v>127</v>
      </c>
      <c r="B103" s="8" t="s">
        <v>45</v>
      </c>
      <c r="C103" s="8">
        <v>750.0</v>
      </c>
      <c r="D103" s="8">
        <v>1741.0</v>
      </c>
      <c r="E103" s="8">
        <v>339.1</v>
      </c>
      <c r="F103" s="8">
        <v>229.0</v>
      </c>
      <c r="G103" s="9">
        <f t="shared" si="1"/>
        <v>3.27510917</v>
      </c>
      <c r="H103" s="8">
        <v>1741.0</v>
      </c>
      <c r="I103" s="8">
        <v>0.0</v>
      </c>
      <c r="J103" s="8">
        <v>1.0</v>
      </c>
      <c r="K103" s="8">
        <v>24.0</v>
      </c>
      <c r="L103" s="8">
        <v>204.0</v>
      </c>
    </row>
    <row r="104">
      <c r="A104" s="8" t="s">
        <v>81</v>
      </c>
      <c r="B104" s="8" t="s">
        <v>45</v>
      </c>
      <c r="C104" s="8">
        <v>750.0</v>
      </c>
      <c r="D104" s="8">
        <v>1764.0</v>
      </c>
      <c r="E104" s="8">
        <v>469.9</v>
      </c>
      <c r="F104" s="8">
        <v>223.0</v>
      </c>
      <c r="G104" s="9">
        <f t="shared" si="1"/>
        <v>3.3632287</v>
      </c>
      <c r="H104" s="8">
        <v>1764.0</v>
      </c>
      <c r="I104" s="8">
        <v>0.0</v>
      </c>
      <c r="J104" s="8">
        <v>0.0</v>
      </c>
      <c r="K104" s="8">
        <v>18.0</v>
      </c>
      <c r="L104" s="8">
        <v>205.0</v>
      </c>
    </row>
    <row r="105">
      <c r="A105" s="8" t="s">
        <v>154</v>
      </c>
      <c r="B105" s="8" t="s">
        <v>45</v>
      </c>
      <c r="C105" s="8">
        <v>750.0</v>
      </c>
      <c r="D105" s="8">
        <v>1778.0</v>
      </c>
      <c r="E105" s="8">
        <v>257.6</v>
      </c>
      <c r="F105" s="8">
        <v>223.0</v>
      </c>
      <c r="G105" s="9">
        <f t="shared" si="1"/>
        <v>3.3632287</v>
      </c>
      <c r="H105" s="8">
        <v>1778.0</v>
      </c>
      <c r="I105" s="8">
        <v>0.0</v>
      </c>
      <c r="J105" s="8">
        <v>0.0</v>
      </c>
      <c r="K105" s="8">
        <v>12.0</v>
      </c>
      <c r="L105" s="8">
        <v>211.0</v>
      </c>
    </row>
    <row r="106">
      <c r="A106" s="8" t="s">
        <v>129</v>
      </c>
      <c r="B106" s="8" t="s">
        <v>45</v>
      </c>
      <c r="C106" s="8">
        <v>750.0</v>
      </c>
      <c r="D106" s="8">
        <v>1733.0</v>
      </c>
      <c r="E106" s="8">
        <v>847.7</v>
      </c>
      <c r="F106" s="8">
        <v>225.0</v>
      </c>
      <c r="G106" s="9">
        <f t="shared" si="1"/>
        <v>3.333333333</v>
      </c>
      <c r="H106" s="8">
        <v>1733.0</v>
      </c>
      <c r="I106" s="8">
        <v>0.0</v>
      </c>
      <c r="J106" s="8">
        <v>0.0</v>
      </c>
      <c r="K106" s="8">
        <v>16.0</v>
      </c>
      <c r="L106" s="8">
        <v>209.0</v>
      </c>
    </row>
    <row r="107">
      <c r="A107" s="8" t="s">
        <v>83</v>
      </c>
      <c r="B107" s="8" t="s">
        <v>45</v>
      </c>
      <c r="C107" s="8">
        <v>1000.0</v>
      </c>
      <c r="D107" s="8">
        <v>2247.0</v>
      </c>
      <c r="E107" s="8">
        <v>890.4</v>
      </c>
      <c r="F107" s="8">
        <v>304.0</v>
      </c>
      <c r="G107" s="9">
        <f t="shared" si="1"/>
        <v>3.289473684</v>
      </c>
      <c r="H107" s="8">
        <v>2247.0</v>
      </c>
      <c r="I107" s="8">
        <v>0.0</v>
      </c>
      <c r="J107" s="8">
        <v>0.0</v>
      </c>
      <c r="K107" s="8">
        <v>24.0</v>
      </c>
      <c r="L107" s="8">
        <v>280.0</v>
      </c>
    </row>
    <row r="108">
      <c r="A108" s="8" t="s">
        <v>144</v>
      </c>
      <c r="B108" s="8" t="s">
        <v>45</v>
      </c>
      <c r="C108" s="8">
        <v>1000.0</v>
      </c>
      <c r="D108" s="8">
        <v>2278.0</v>
      </c>
      <c r="E108" s="8">
        <v>614.3</v>
      </c>
      <c r="F108" s="8">
        <v>302.0</v>
      </c>
      <c r="G108" s="9">
        <f t="shared" si="1"/>
        <v>3.311258278</v>
      </c>
      <c r="H108" s="8">
        <v>2278.0</v>
      </c>
      <c r="I108" s="8">
        <v>0.0</v>
      </c>
      <c r="J108" s="8">
        <v>1.0</v>
      </c>
      <c r="K108" s="8">
        <v>12.0</v>
      </c>
      <c r="L108" s="8">
        <v>289.0</v>
      </c>
    </row>
    <row r="109">
      <c r="A109" s="8" t="s">
        <v>63</v>
      </c>
      <c r="B109" s="8" t="s">
        <v>45</v>
      </c>
      <c r="C109" s="8">
        <v>1000.0</v>
      </c>
      <c r="D109" s="8">
        <v>2252.0</v>
      </c>
      <c r="E109" s="8">
        <v>3014.3</v>
      </c>
      <c r="F109" s="8">
        <v>305.0</v>
      </c>
      <c r="G109" s="9">
        <f t="shared" si="1"/>
        <v>3.278688525</v>
      </c>
      <c r="H109" s="8">
        <v>2252.0</v>
      </c>
      <c r="I109" s="8">
        <v>0.0</v>
      </c>
      <c r="J109" s="8">
        <v>1.0</v>
      </c>
      <c r="K109" s="8">
        <v>26.0</v>
      </c>
      <c r="L109" s="8">
        <v>278.0</v>
      </c>
    </row>
    <row r="110">
      <c r="A110" s="8" t="s">
        <v>79</v>
      </c>
      <c r="B110" s="8" t="s">
        <v>45</v>
      </c>
      <c r="C110" s="8">
        <v>1000.0</v>
      </c>
      <c r="D110" s="8">
        <v>2246.0</v>
      </c>
      <c r="E110" s="8">
        <v>939.9</v>
      </c>
      <c r="F110" s="8">
        <v>305.0</v>
      </c>
      <c r="G110" s="9">
        <f t="shared" si="1"/>
        <v>3.278688525</v>
      </c>
      <c r="H110" s="8">
        <v>2246.0</v>
      </c>
      <c r="I110" s="8">
        <v>0.0</v>
      </c>
      <c r="J110" s="8">
        <v>0.0</v>
      </c>
      <c r="K110" s="8">
        <v>21.0</v>
      </c>
      <c r="L110" s="8">
        <v>284.0</v>
      </c>
    </row>
    <row r="111">
      <c r="A111" s="8" t="s">
        <v>64</v>
      </c>
      <c r="B111" s="8" t="s">
        <v>45</v>
      </c>
      <c r="C111" s="8">
        <v>1000.0</v>
      </c>
      <c r="D111" s="8">
        <v>2245.0</v>
      </c>
      <c r="E111" s="8">
        <v>344.4</v>
      </c>
      <c r="F111" s="8">
        <v>300.0</v>
      </c>
      <c r="G111" s="9">
        <f t="shared" si="1"/>
        <v>3.333333333</v>
      </c>
      <c r="H111" s="8">
        <v>2245.0</v>
      </c>
      <c r="I111" s="8">
        <v>0.0</v>
      </c>
      <c r="J111" s="8">
        <v>0.0</v>
      </c>
      <c r="K111" s="8">
        <v>24.0</v>
      </c>
      <c r="L111" s="8">
        <v>276.0</v>
      </c>
    </row>
  </sheetData>
  <autoFilter ref="$A$1:$L$11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63"/>
    <col customWidth="1" min="3" max="3" width="18.25"/>
    <col customWidth="1" min="4" max="5" width="12.63"/>
    <col customWidth="1" min="6" max="6" width="19.75"/>
    <col customWidth="1" min="7" max="7" width="15.63"/>
    <col customWidth="1" min="8" max="8" width="16.88"/>
    <col customWidth="1" min="9" max="9" width="20.25"/>
    <col customWidth="1" min="10" max="12" width="12.63"/>
  </cols>
  <sheetData>
    <row r="1">
      <c r="A1" s="7" t="s">
        <v>38</v>
      </c>
      <c r="B1" s="7" t="s">
        <v>39</v>
      </c>
      <c r="C1" s="7" t="s">
        <v>40</v>
      </c>
      <c r="D1" s="7" t="s">
        <v>155</v>
      </c>
      <c r="E1" s="7" t="s">
        <v>156</v>
      </c>
      <c r="F1" s="7" t="s">
        <v>157</v>
      </c>
      <c r="G1" s="7" t="s">
        <v>158</v>
      </c>
      <c r="H1" s="7" t="s">
        <v>159</v>
      </c>
      <c r="I1" s="7" t="s">
        <v>160</v>
      </c>
      <c r="J1" s="7" t="s">
        <v>161</v>
      </c>
      <c r="K1" s="7" t="s">
        <v>162</v>
      </c>
      <c r="L1" s="7" t="s">
        <v>163</v>
      </c>
    </row>
    <row r="2">
      <c r="A2" s="6" t="s">
        <v>93</v>
      </c>
      <c r="B2" s="6" t="s">
        <v>53</v>
      </c>
      <c r="C2" s="6">
        <v>10.0</v>
      </c>
      <c r="D2" s="6">
        <v>185.0</v>
      </c>
      <c r="E2" s="6">
        <v>0.0</v>
      </c>
      <c r="F2" s="6">
        <v>3.0</v>
      </c>
      <c r="G2" s="10">
        <f t="shared" ref="G2:G111" si="1">C2/F2</f>
        <v>3.333333333</v>
      </c>
      <c r="H2" s="6">
        <v>70.0</v>
      </c>
      <c r="I2" s="6">
        <v>0.0</v>
      </c>
      <c r="J2" s="6">
        <v>1.0</v>
      </c>
      <c r="K2" s="6">
        <v>1.0</v>
      </c>
      <c r="L2" s="6">
        <v>1.0</v>
      </c>
    </row>
    <row r="3">
      <c r="A3" s="6" t="s">
        <v>36</v>
      </c>
      <c r="B3" s="6" t="s">
        <v>53</v>
      </c>
      <c r="C3" s="6">
        <v>10.0</v>
      </c>
      <c r="D3" s="6">
        <v>159.0</v>
      </c>
      <c r="E3" s="6">
        <v>0.0</v>
      </c>
      <c r="F3" s="6">
        <v>3.0</v>
      </c>
      <c r="G3" s="10">
        <f t="shared" si="1"/>
        <v>3.333333333</v>
      </c>
      <c r="H3" s="6">
        <v>119.0</v>
      </c>
      <c r="I3" s="6">
        <v>0.0</v>
      </c>
      <c r="J3" s="6">
        <v>2.0</v>
      </c>
      <c r="K3" s="6">
        <v>1.0</v>
      </c>
      <c r="L3" s="6">
        <v>0.0</v>
      </c>
    </row>
    <row r="4">
      <c r="A4" s="6" t="s">
        <v>55</v>
      </c>
      <c r="B4" s="6" t="s">
        <v>53</v>
      </c>
      <c r="C4" s="6">
        <v>15.0</v>
      </c>
      <c r="D4" s="6">
        <v>378.0</v>
      </c>
      <c r="E4" s="6">
        <v>0.0</v>
      </c>
      <c r="F4" s="6">
        <v>5.0</v>
      </c>
      <c r="G4" s="10">
        <f t="shared" si="1"/>
        <v>3</v>
      </c>
      <c r="H4" s="6">
        <v>158.0</v>
      </c>
      <c r="I4" s="6">
        <v>0.0</v>
      </c>
      <c r="J4" s="6">
        <v>3.0</v>
      </c>
      <c r="K4" s="6">
        <v>2.0</v>
      </c>
      <c r="L4" s="6">
        <v>0.0</v>
      </c>
    </row>
    <row r="5">
      <c r="A5" s="6" t="s">
        <v>141</v>
      </c>
      <c r="B5" s="6" t="s">
        <v>53</v>
      </c>
      <c r="C5" s="6">
        <v>15.0</v>
      </c>
      <c r="D5" s="6">
        <v>247.0</v>
      </c>
      <c r="E5" s="6">
        <v>0.0</v>
      </c>
      <c r="F5" s="6">
        <v>4.0</v>
      </c>
      <c r="G5" s="10">
        <f t="shared" si="1"/>
        <v>3.75</v>
      </c>
      <c r="H5" s="6">
        <v>107.0</v>
      </c>
      <c r="I5" s="6">
        <v>0.0</v>
      </c>
      <c r="J5" s="6">
        <v>2.0</v>
      </c>
      <c r="K5" s="6">
        <v>1.0</v>
      </c>
      <c r="L5" s="6">
        <v>1.0</v>
      </c>
    </row>
    <row r="6">
      <c r="A6" s="6" t="s">
        <v>109</v>
      </c>
      <c r="B6" s="6" t="s">
        <v>53</v>
      </c>
      <c r="C6" s="6">
        <v>20.0</v>
      </c>
      <c r="D6" s="6">
        <v>410.0</v>
      </c>
      <c r="E6" s="6">
        <v>0.0</v>
      </c>
      <c r="F6" s="6">
        <v>6.0</v>
      </c>
      <c r="G6" s="10">
        <f t="shared" si="1"/>
        <v>3.333333333</v>
      </c>
      <c r="H6" s="6">
        <v>185.0</v>
      </c>
      <c r="I6" s="6">
        <v>0.0</v>
      </c>
      <c r="J6" s="6">
        <v>3.0</v>
      </c>
      <c r="K6" s="6">
        <v>1.0</v>
      </c>
      <c r="L6" s="6">
        <v>2.0</v>
      </c>
    </row>
    <row r="7">
      <c r="A7" s="6" t="s">
        <v>85</v>
      </c>
      <c r="B7" s="6" t="s">
        <v>53</v>
      </c>
      <c r="C7" s="6">
        <v>20.0</v>
      </c>
      <c r="D7" s="6">
        <v>363.0</v>
      </c>
      <c r="E7" s="6">
        <v>0.0</v>
      </c>
      <c r="F7" s="6">
        <v>7.0</v>
      </c>
      <c r="G7" s="10">
        <f t="shared" si="1"/>
        <v>2.857142857</v>
      </c>
      <c r="H7" s="6">
        <v>168.0</v>
      </c>
      <c r="I7" s="6">
        <v>0.0</v>
      </c>
      <c r="J7" s="6">
        <v>4.0</v>
      </c>
      <c r="K7" s="6">
        <v>3.0</v>
      </c>
      <c r="L7" s="6">
        <v>0.0</v>
      </c>
    </row>
    <row r="8">
      <c r="A8" s="6" t="s">
        <v>105</v>
      </c>
      <c r="B8" s="6" t="s">
        <v>53</v>
      </c>
      <c r="C8" s="6">
        <v>25.0</v>
      </c>
      <c r="D8" s="6">
        <v>467.0</v>
      </c>
      <c r="E8" s="6">
        <v>0.0</v>
      </c>
      <c r="F8" s="6">
        <v>10.0</v>
      </c>
      <c r="G8" s="10">
        <f t="shared" si="1"/>
        <v>2.5</v>
      </c>
      <c r="H8" s="6">
        <v>217.0</v>
      </c>
      <c r="I8" s="6">
        <v>0.0</v>
      </c>
      <c r="J8" s="6">
        <v>7.0</v>
      </c>
      <c r="K8" s="6">
        <v>2.0</v>
      </c>
      <c r="L8" s="6">
        <v>1.0</v>
      </c>
    </row>
    <row r="9">
      <c r="A9" s="6" t="s">
        <v>126</v>
      </c>
      <c r="B9" s="6" t="s">
        <v>53</v>
      </c>
      <c r="C9" s="6">
        <v>30.0</v>
      </c>
      <c r="D9" s="6">
        <v>513.0</v>
      </c>
      <c r="E9" s="6">
        <v>0.0</v>
      </c>
      <c r="F9" s="6">
        <v>10.0</v>
      </c>
      <c r="G9" s="10">
        <f t="shared" si="1"/>
        <v>3</v>
      </c>
      <c r="H9" s="6">
        <v>283.0</v>
      </c>
      <c r="I9" s="6">
        <v>0.0</v>
      </c>
      <c r="J9" s="6">
        <v>6.0</v>
      </c>
      <c r="K9" s="6">
        <v>3.0</v>
      </c>
      <c r="L9" s="6">
        <v>1.0</v>
      </c>
    </row>
    <row r="10">
      <c r="A10" s="6" t="s">
        <v>65</v>
      </c>
      <c r="B10" s="6" t="s">
        <v>53</v>
      </c>
      <c r="C10" s="6">
        <v>30.0</v>
      </c>
      <c r="D10" s="6">
        <v>757.0</v>
      </c>
      <c r="E10" s="6">
        <v>0.0</v>
      </c>
      <c r="F10" s="6">
        <v>10.0</v>
      </c>
      <c r="G10" s="10">
        <f t="shared" si="1"/>
        <v>3</v>
      </c>
      <c r="H10" s="6">
        <v>232.0</v>
      </c>
      <c r="I10" s="6">
        <v>0.0</v>
      </c>
      <c r="J10" s="6">
        <v>5.0</v>
      </c>
      <c r="K10" s="6">
        <v>3.0</v>
      </c>
      <c r="L10" s="6">
        <v>2.0</v>
      </c>
    </row>
    <row r="11">
      <c r="A11" s="6" t="s">
        <v>114</v>
      </c>
      <c r="B11" s="6" t="s">
        <v>53</v>
      </c>
      <c r="C11" s="6">
        <v>40.0</v>
      </c>
      <c r="D11" s="6">
        <v>881.0</v>
      </c>
      <c r="E11" s="6">
        <v>0.0</v>
      </c>
      <c r="F11" s="6">
        <v>13.0</v>
      </c>
      <c r="G11" s="10">
        <f t="shared" si="1"/>
        <v>3.076923077</v>
      </c>
      <c r="H11" s="6">
        <v>256.0</v>
      </c>
      <c r="I11" s="6">
        <v>0.0</v>
      </c>
      <c r="J11" s="6">
        <v>6.0</v>
      </c>
      <c r="K11" s="6">
        <v>4.0</v>
      </c>
      <c r="L11" s="6">
        <v>3.0</v>
      </c>
    </row>
    <row r="12">
      <c r="A12" s="6" t="s">
        <v>69</v>
      </c>
      <c r="B12" s="6" t="s">
        <v>53</v>
      </c>
      <c r="C12" s="6">
        <v>50.0</v>
      </c>
      <c r="D12" s="6">
        <v>1076.0</v>
      </c>
      <c r="E12" s="6">
        <v>0.0</v>
      </c>
      <c r="F12" s="6">
        <v>16.0</v>
      </c>
      <c r="G12" s="10">
        <f t="shared" si="1"/>
        <v>3.125</v>
      </c>
      <c r="H12" s="6">
        <v>456.0</v>
      </c>
      <c r="I12" s="6">
        <v>0.0</v>
      </c>
      <c r="J12" s="6">
        <v>9.0</v>
      </c>
      <c r="K12" s="6">
        <v>5.0</v>
      </c>
      <c r="L12" s="6">
        <v>2.0</v>
      </c>
    </row>
    <row r="13">
      <c r="A13" s="6" t="s">
        <v>150</v>
      </c>
      <c r="B13" s="6" t="s">
        <v>53</v>
      </c>
      <c r="C13" s="6">
        <v>50.0</v>
      </c>
      <c r="D13" s="6">
        <v>1263.0</v>
      </c>
      <c r="E13" s="6">
        <v>0.0</v>
      </c>
      <c r="F13" s="6">
        <v>14.0</v>
      </c>
      <c r="G13" s="10">
        <f t="shared" si="1"/>
        <v>3.571428571</v>
      </c>
      <c r="H13" s="6">
        <v>428.0</v>
      </c>
      <c r="I13" s="6">
        <v>0.0</v>
      </c>
      <c r="J13" s="6">
        <v>6.0</v>
      </c>
      <c r="K13" s="6">
        <v>2.0</v>
      </c>
      <c r="L13" s="6">
        <v>6.0</v>
      </c>
    </row>
    <row r="14">
      <c r="A14" s="6" t="s">
        <v>123</v>
      </c>
      <c r="B14" s="6" t="s">
        <v>53</v>
      </c>
      <c r="C14" s="6">
        <v>75.0</v>
      </c>
      <c r="D14" s="6">
        <v>1288.0</v>
      </c>
      <c r="E14" s="6">
        <v>0.0</v>
      </c>
      <c r="F14" s="6">
        <v>24.0</v>
      </c>
      <c r="G14" s="10">
        <f t="shared" si="1"/>
        <v>3.125</v>
      </c>
      <c r="H14" s="6">
        <v>583.0</v>
      </c>
      <c r="I14" s="6">
        <v>0.0</v>
      </c>
      <c r="J14" s="6">
        <v>11.0</v>
      </c>
      <c r="K14" s="6">
        <v>6.0</v>
      </c>
      <c r="L14" s="6">
        <v>7.0</v>
      </c>
    </row>
    <row r="15">
      <c r="A15" s="6" t="s">
        <v>61</v>
      </c>
      <c r="B15" s="6" t="s">
        <v>53</v>
      </c>
      <c r="C15" s="6">
        <v>100.0</v>
      </c>
      <c r="D15" s="6">
        <v>1183.0</v>
      </c>
      <c r="E15" s="6">
        <v>0.0</v>
      </c>
      <c r="F15" s="6">
        <v>32.0</v>
      </c>
      <c r="G15" s="10">
        <f t="shared" si="1"/>
        <v>3.125</v>
      </c>
      <c r="H15" s="6">
        <v>818.0</v>
      </c>
      <c r="I15" s="6">
        <v>0.0</v>
      </c>
      <c r="J15" s="6">
        <v>21.0</v>
      </c>
      <c r="K15" s="6">
        <v>5.0</v>
      </c>
      <c r="L15" s="6">
        <v>6.0</v>
      </c>
    </row>
    <row r="16">
      <c r="A16" s="6" t="s">
        <v>100</v>
      </c>
      <c r="B16" s="6" t="s">
        <v>53</v>
      </c>
      <c r="C16" s="6">
        <v>100.0</v>
      </c>
      <c r="D16" s="6">
        <v>1466.0</v>
      </c>
      <c r="E16" s="6">
        <v>0.0</v>
      </c>
      <c r="F16" s="6">
        <v>32.0</v>
      </c>
      <c r="G16" s="10">
        <f t="shared" si="1"/>
        <v>3.125</v>
      </c>
      <c r="H16" s="6">
        <v>671.0</v>
      </c>
      <c r="I16" s="6">
        <v>0.0</v>
      </c>
      <c r="J16" s="6">
        <v>16.0</v>
      </c>
      <c r="K16" s="6">
        <v>8.0</v>
      </c>
      <c r="L16" s="6">
        <v>8.0</v>
      </c>
    </row>
    <row r="17">
      <c r="A17" s="6" t="s">
        <v>94</v>
      </c>
      <c r="B17" s="6" t="s">
        <v>53</v>
      </c>
      <c r="C17" s="6">
        <v>150.0</v>
      </c>
      <c r="D17" s="6">
        <v>1661.0</v>
      </c>
      <c r="E17" s="6">
        <v>0.1</v>
      </c>
      <c r="F17" s="6">
        <v>47.0</v>
      </c>
      <c r="G17" s="10">
        <f t="shared" si="1"/>
        <v>3.191489362</v>
      </c>
      <c r="H17" s="6">
        <v>1171.0</v>
      </c>
      <c r="I17" s="6">
        <v>1.0</v>
      </c>
      <c r="J17" s="6">
        <v>21.0</v>
      </c>
      <c r="K17" s="6">
        <v>15.0</v>
      </c>
      <c r="L17" s="6">
        <v>11.0</v>
      </c>
    </row>
    <row r="18">
      <c r="A18" s="6" t="s">
        <v>132</v>
      </c>
      <c r="B18" s="6" t="s">
        <v>53</v>
      </c>
      <c r="C18" s="6">
        <v>208.0</v>
      </c>
      <c r="D18" s="6">
        <v>2130.0</v>
      </c>
      <c r="E18" s="6">
        <v>0.2</v>
      </c>
      <c r="F18" s="6">
        <v>63.0</v>
      </c>
      <c r="G18" s="10">
        <f t="shared" si="1"/>
        <v>3.301587302</v>
      </c>
      <c r="H18" s="6">
        <v>1690.0</v>
      </c>
      <c r="I18" s="6">
        <v>1.0</v>
      </c>
      <c r="J18" s="6">
        <v>38.0</v>
      </c>
      <c r="K18" s="6">
        <v>11.0</v>
      </c>
      <c r="L18" s="6">
        <v>14.0</v>
      </c>
    </row>
    <row r="19">
      <c r="A19" s="6" t="s">
        <v>110</v>
      </c>
      <c r="B19" s="6" t="s">
        <v>53</v>
      </c>
      <c r="C19" s="6">
        <v>208.0</v>
      </c>
      <c r="D19" s="6">
        <v>2381.0</v>
      </c>
      <c r="E19" s="6">
        <v>0.2</v>
      </c>
      <c r="F19" s="6">
        <v>62.0</v>
      </c>
      <c r="G19" s="10">
        <f t="shared" si="1"/>
        <v>3.35483871</v>
      </c>
      <c r="H19" s="6">
        <v>1326.0</v>
      </c>
      <c r="I19" s="6">
        <v>0.0</v>
      </c>
      <c r="J19" s="6">
        <v>23.0</v>
      </c>
      <c r="K19" s="6">
        <v>18.0</v>
      </c>
      <c r="L19" s="6">
        <v>21.0</v>
      </c>
    </row>
    <row r="20">
      <c r="A20" s="6" t="s">
        <v>52</v>
      </c>
      <c r="B20" s="6" t="s">
        <v>53</v>
      </c>
      <c r="C20" s="6">
        <v>300.0</v>
      </c>
      <c r="D20" s="6">
        <v>2810.0</v>
      </c>
      <c r="E20" s="6">
        <v>0.4</v>
      </c>
      <c r="F20" s="6">
        <v>100.0</v>
      </c>
      <c r="G20" s="10">
        <f t="shared" si="1"/>
        <v>3</v>
      </c>
      <c r="H20" s="6">
        <v>2005.0</v>
      </c>
      <c r="I20" s="6">
        <v>0.0</v>
      </c>
      <c r="J20" s="6">
        <v>52.0</v>
      </c>
      <c r="K20" s="6">
        <v>17.0</v>
      </c>
      <c r="L20" s="6">
        <v>31.0</v>
      </c>
    </row>
    <row r="21">
      <c r="A21" s="6" t="s">
        <v>86</v>
      </c>
      <c r="B21" s="6" t="s">
        <v>53</v>
      </c>
      <c r="C21" s="6">
        <v>500.0</v>
      </c>
      <c r="D21" s="6">
        <v>3892.0</v>
      </c>
      <c r="E21" s="6">
        <v>1.1</v>
      </c>
      <c r="F21" s="6">
        <v>167.0</v>
      </c>
      <c r="G21" s="10">
        <f t="shared" si="1"/>
        <v>2.994011976</v>
      </c>
      <c r="H21" s="6">
        <v>3132.0</v>
      </c>
      <c r="I21" s="6">
        <v>0.0</v>
      </c>
      <c r="J21" s="6">
        <v>87.0</v>
      </c>
      <c r="K21" s="6">
        <v>28.0</v>
      </c>
      <c r="L21" s="6">
        <v>52.0</v>
      </c>
    </row>
    <row r="22">
      <c r="A22" s="6" t="s">
        <v>125</v>
      </c>
      <c r="B22" s="6" t="s">
        <v>45</v>
      </c>
      <c r="C22" s="6">
        <v>10.0</v>
      </c>
      <c r="D22" s="6">
        <v>13.0</v>
      </c>
      <c r="E22" s="6">
        <v>0.0</v>
      </c>
      <c r="F22" s="6">
        <v>4.0</v>
      </c>
      <c r="G22" s="10">
        <f t="shared" si="1"/>
        <v>2.5</v>
      </c>
      <c r="H22" s="6">
        <v>13.0</v>
      </c>
      <c r="I22" s="6">
        <v>0.0</v>
      </c>
      <c r="J22" s="6">
        <v>0.0</v>
      </c>
      <c r="K22" s="6">
        <v>0.0</v>
      </c>
      <c r="L22" s="6">
        <v>4.0</v>
      </c>
    </row>
    <row r="23">
      <c r="A23" s="6" t="s">
        <v>111</v>
      </c>
      <c r="B23" s="6" t="s">
        <v>45</v>
      </c>
      <c r="C23" s="6">
        <v>10.0</v>
      </c>
      <c r="D23" s="6">
        <v>12.0</v>
      </c>
      <c r="E23" s="6">
        <v>0.0</v>
      </c>
      <c r="F23" s="6">
        <v>4.0</v>
      </c>
      <c r="G23" s="10">
        <f t="shared" si="1"/>
        <v>2.5</v>
      </c>
      <c r="H23" s="6">
        <v>12.0</v>
      </c>
      <c r="I23" s="6">
        <v>0.0</v>
      </c>
      <c r="J23" s="6">
        <v>0.0</v>
      </c>
      <c r="K23" s="6">
        <v>1.0</v>
      </c>
      <c r="L23" s="6">
        <v>3.0</v>
      </c>
    </row>
    <row r="24">
      <c r="A24" s="6" t="s">
        <v>133</v>
      </c>
      <c r="B24" s="6" t="s">
        <v>45</v>
      </c>
      <c r="C24" s="6">
        <v>10.0</v>
      </c>
      <c r="D24" s="6">
        <v>13.0</v>
      </c>
      <c r="E24" s="6">
        <v>0.0</v>
      </c>
      <c r="F24" s="6">
        <v>4.0</v>
      </c>
      <c r="G24" s="10">
        <f t="shared" si="1"/>
        <v>2.5</v>
      </c>
      <c r="H24" s="6">
        <v>13.0</v>
      </c>
      <c r="I24" s="6">
        <v>0.0</v>
      </c>
      <c r="J24" s="6">
        <v>0.0</v>
      </c>
      <c r="K24" s="6">
        <v>0.0</v>
      </c>
      <c r="L24" s="6">
        <v>4.0</v>
      </c>
    </row>
    <row r="25">
      <c r="A25" s="6" t="s">
        <v>124</v>
      </c>
      <c r="B25" s="6" t="s">
        <v>45</v>
      </c>
      <c r="C25" s="6">
        <v>10.0</v>
      </c>
      <c r="D25" s="6">
        <v>13.0</v>
      </c>
      <c r="E25" s="6">
        <v>0.0</v>
      </c>
      <c r="F25" s="6">
        <v>4.0</v>
      </c>
      <c r="G25" s="10">
        <f t="shared" si="1"/>
        <v>2.5</v>
      </c>
      <c r="H25" s="6">
        <v>13.0</v>
      </c>
      <c r="I25" s="6">
        <v>0.0</v>
      </c>
      <c r="J25" s="6">
        <v>0.0</v>
      </c>
      <c r="K25" s="6">
        <v>1.0</v>
      </c>
      <c r="L25" s="6">
        <v>3.0</v>
      </c>
    </row>
    <row r="26">
      <c r="A26" s="6" t="s">
        <v>49</v>
      </c>
      <c r="B26" s="6" t="s">
        <v>45</v>
      </c>
      <c r="C26" s="6">
        <v>10.0</v>
      </c>
      <c r="D26" s="6">
        <v>20.0</v>
      </c>
      <c r="E26" s="6">
        <v>0.0</v>
      </c>
      <c r="F26" s="6">
        <v>4.0</v>
      </c>
      <c r="G26" s="10">
        <f t="shared" si="1"/>
        <v>2.5</v>
      </c>
      <c r="H26" s="6">
        <v>20.0</v>
      </c>
      <c r="I26" s="6">
        <v>0.0</v>
      </c>
      <c r="J26" s="6">
        <v>0.0</v>
      </c>
      <c r="K26" s="6">
        <v>0.0</v>
      </c>
      <c r="L26" s="6">
        <v>4.0</v>
      </c>
    </row>
    <row r="27">
      <c r="A27" s="6" t="s">
        <v>130</v>
      </c>
      <c r="B27" s="6" t="s">
        <v>45</v>
      </c>
      <c r="C27" s="6">
        <v>15.0</v>
      </c>
      <c r="D27" s="6">
        <v>20.0</v>
      </c>
      <c r="E27" s="6">
        <v>0.0</v>
      </c>
      <c r="F27" s="6">
        <v>5.0</v>
      </c>
      <c r="G27" s="10">
        <f t="shared" si="1"/>
        <v>3</v>
      </c>
      <c r="H27" s="6">
        <v>20.0</v>
      </c>
      <c r="I27" s="6">
        <v>0.0</v>
      </c>
      <c r="J27" s="6">
        <v>0.0</v>
      </c>
      <c r="K27" s="6">
        <v>1.0</v>
      </c>
      <c r="L27" s="6">
        <v>4.0</v>
      </c>
    </row>
    <row r="28">
      <c r="A28" s="6" t="s">
        <v>140</v>
      </c>
      <c r="B28" s="6" t="s">
        <v>45</v>
      </c>
      <c r="C28" s="6">
        <v>15.0</v>
      </c>
      <c r="D28" s="6">
        <v>18.0</v>
      </c>
      <c r="E28" s="6">
        <v>0.0</v>
      </c>
      <c r="F28" s="6">
        <v>5.0</v>
      </c>
      <c r="G28" s="10">
        <f t="shared" si="1"/>
        <v>3</v>
      </c>
      <c r="H28" s="6">
        <v>18.0</v>
      </c>
      <c r="I28" s="6">
        <v>0.0</v>
      </c>
      <c r="J28" s="6">
        <v>0.0</v>
      </c>
      <c r="K28" s="6">
        <v>0.0</v>
      </c>
      <c r="L28" s="6">
        <v>5.0</v>
      </c>
    </row>
    <row r="29">
      <c r="A29" s="6" t="s">
        <v>60</v>
      </c>
      <c r="B29" s="6" t="s">
        <v>45</v>
      </c>
      <c r="C29" s="6">
        <v>15.0</v>
      </c>
      <c r="D29" s="6">
        <v>19.0</v>
      </c>
      <c r="E29" s="6">
        <v>0.0</v>
      </c>
      <c r="F29" s="6">
        <v>5.0</v>
      </c>
      <c r="G29" s="10">
        <f t="shared" si="1"/>
        <v>3</v>
      </c>
      <c r="H29" s="6">
        <v>19.0</v>
      </c>
      <c r="I29" s="6">
        <v>0.0</v>
      </c>
      <c r="J29" s="6">
        <v>0.0</v>
      </c>
      <c r="K29" s="6">
        <v>0.0</v>
      </c>
      <c r="L29" s="6">
        <v>5.0</v>
      </c>
    </row>
    <row r="30">
      <c r="A30" s="6" t="s">
        <v>59</v>
      </c>
      <c r="B30" s="6" t="s">
        <v>45</v>
      </c>
      <c r="C30" s="6">
        <v>15.0</v>
      </c>
      <c r="D30" s="6">
        <v>23.0</v>
      </c>
      <c r="E30" s="6">
        <v>0.0</v>
      </c>
      <c r="F30" s="6">
        <v>5.0</v>
      </c>
      <c r="G30" s="10">
        <f t="shared" si="1"/>
        <v>3</v>
      </c>
      <c r="H30" s="6">
        <v>23.0</v>
      </c>
      <c r="I30" s="6">
        <v>0.0</v>
      </c>
      <c r="J30" s="6">
        <v>0.0</v>
      </c>
      <c r="K30" s="6">
        <v>0.0</v>
      </c>
      <c r="L30" s="6">
        <v>5.0</v>
      </c>
    </row>
    <row r="31">
      <c r="A31" s="6" t="s">
        <v>50</v>
      </c>
      <c r="B31" s="6" t="s">
        <v>45</v>
      </c>
      <c r="C31" s="6">
        <v>15.0</v>
      </c>
      <c r="D31" s="6">
        <v>22.0</v>
      </c>
      <c r="E31" s="6">
        <v>0.0</v>
      </c>
      <c r="F31" s="6">
        <v>5.0</v>
      </c>
      <c r="G31" s="10">
        <f t="shared" si="1"/>
        <v>3</v>
      </c>
      <c r="H31" s="6">
        <v>22.0</v>
      </c>
      <c r="I31" s="6">
        <v>0.0</v>
      </c>
      <c r="J31" s="6">
        <v>0.0</v>
      </c>
      <c r="K31" s="6">
        <v>0.0</v>
      </c>
      <c r="L31" s="6">
        <v>5.0</v>
      </c>
    </row>
    <row r="32">
      <c r="A32" s="6" t="s">
        <v>95</v>
      </c>
      <c r="B32" s="6" t="s">
        <v>45</v>
      </c>
      <c r="C32" s="6">
        <v>20.0</v>
      </c>
      <c r="D32" s="6">
        <v>34.0</v>
      </c>
      <c r="E32" s="6">
        <v>0.0</v>
      </c>
      <c r="F32" s="6">
        <v>6.0</v>
      </c>
      <c r="G32" s="10">
        <f t="shared" si="1"/>
        <v>3.333333333</v>
      </c>
      <c r="H32" s="6">
        <v>34.0</v>
      </c>
      <c r="I32" s="6">
        <v>0.0</v>
      </c>
      <c r="J32" s="6">
        <v>0.0</v>
      </c>
      <c r="K32" s="6">
        <v>0.0</v>
      </c>
      <c r="L32" s="6">
        <v>6.0</v>
      </c>
    </row>
    <row r="33">
      <c r="A33" s="6" t="s">
        <v>73</v>
      </c>
      <c r="B33" s="6" t="s">
        <v>45</v>
      </c>
      <c r="C33" s="6">
        <v>20.0</v>
      </c>
      <c r="D33" s="6">
        <v>31.0</v>
      </c>
      <c r="E33" s="6">
        <v>0.0</v>
      </c>
      <c r="F33" s="6">
        <v>6.0</v>
      </c>
      <c r="G33" s="10">
        <f t="shared" si="1"/>
        <v>3.333333333</v>
      </c>
      <c r="H33" s="6">
        <v>31.0</v>
      </c>
      <c r="I33" s="6">
        <v>0.0</v>
      </c>
      <c r="J33" s="6">
        <v>0.0</v>
      </c>
      <c r="K33" s="6">
        <v>0.0</v>
      </c>
      <c r="L33" s="6">
        <v>6.0</v>
      </c>
    </row>
    <row r="34">
      <c r="A34" s="6" t="s">
        <v>46</v>
      </c>
      <c r="B34" s="6" t="s">
        <v>45</v>
      </c>
      <c r="C34" s="6">
        <v>20.0</v>
      </c>
      <c r="D34" s="6">
        <v>25.0</v>
      </c>
      <c r="E34" s="6">
        <v>0.0</v>
      </c>
      <c r="F34" s="6">
        <v>6.0</v>
      </c>
      <c r="G34" s="10">
        <f t="shared" si="1"/>
        <v>3.333333333</v>
      </c>
      <c r="H34" s="6">
        <v>25.0</v>
      </c>
      <c r="I34" s="6">
        <v>0.0</v>
      </c>
      <c r="J34" s="6">
        <v>0.0</v>
      </c>
      <c r="K34" s="6">
        <v>0.0</v>
      </c>
      <c r="L34" s="6">
        <v>6.0</v>
      </c>
    </row>
    <row r="35">
      <c r="A35" s="6" t="s">
        <v>103</v>
      </c>
      <c r="B35" s="6" t="s">
        <v>45</v>
      </c>
      <c r="C35" s="6">
        <v>20.0</v>
      </c>
      <c r="D35" s="6">
        <v>25.0</v>
      </c>
      <c r="E35" s="6">
        <v>0.0</v>
      </c>
      <c r="F35" s="6">
        <v>7.0</v>
      </c>
      <c r="G35" s="10">
        <f t="shared" si="1"/>
        <v>2.857142857</v>
      </c>
      <c r="H35" s="6">
        <v>25.0</v>
      </c>
      <c r="I35" s="6">
        <v>0.0</v>
      </c>
      <c r="J35" s="6">
        <v>0.0</v>
      </c>
      <c r="K35" s="6">
        <v>1.0</v>
      </c>
      <c r="L35" s="6">
        <v>6.0</v>
      </c>
    </row>
    <row r="36">
      <c r="A36" s="6" t="s">
        <v>131</v>
      </c>
      <c r="B36" s="6" t="s">
        <v>45</v>
      </c>
      <c r="C36" s="6">
        <v>20.0</v>
      </c>
      <c r="D36" s="6">
        <v>35.0</v>
      </c>
      <c r="E36" s="6">
        <v>0.0</v>
      </c>
      <c r="F36" s="6">
        <v>7.0</v>
      </c>
      <c r="G36" s="10">
        <f t="shared" si="1"/>
        <v>2.857142857</v>
      </c>
      <c r="H36" s="6">
        <v>35.0</v>
      </c>
      <c r="I36" s="6">
        <v>0.0</v>
      </c>
      <c r="J36" s="6">
        <v>0.0</v>
      </c>
      <c r="K36" s="6">
        <v>1.0</v>
      </c>
      <c r="L36" s="6">
        <v>6.0</v>
      </c>
    </row>
    <row r="37">
      <c r="A37" s="6" t="s">
        <v>115</v>
      </c>
      <c r="B37" s="6" t="s">
        <v>45</v>
      </c>
      <c r="C37" s="6">
        <v>25.0</v>
      </c>
      <c r="D37" s="6">
        <v>34.0</v>
      </c>
      <c r="E37" s="6">
        <v>0.0</v>
      </c>
      <c r="F37" s="6">
        <v>8.0</v>
      </c>
      <c r="G37" s="10">
        <f t="shared" si="1"/>
        <v>3.125</v>
      </c>
      <c r="H37" s="6">
        <v>34.0</v>
      </c>
      <c r="I37" s="6">
        <v>0.0</v>
      </c>
      <c r="J37" s="6">
        <v>0.0</v>
      </c>
      <c r="K37" s="6">
        <v>0.0</v>
      </c>
      <c r="L37" s="6">
        <v>8.0</v>
      </c>
    </row>
    <row r="38">
      <c r="A38" s="6" t="s">
        <v>71</v>
      </c>
      <c r="B38" s="6" t="s">
        <v>45</v>
      </c>
      <c r="C38" s="6">
        <v>25.0</v>
      </c>
      <c r="D38" s="6">
        <v>44.0</v>
      </c>
      <c r="E38" s="6">
        <v>0.0</v>
      </c>
      <c r="F38" s="6">
        <v>8.0</v>
      </c>
      <c r="G38" s="10">
        <f t="shared" si="1"/>
        <v>3.125</v>
      </c>
      <c r="H38" s="6">
        <v>44.0</v>
      </c>
      <c r="I38" s="6">
        <v>0.0</v>
      </c>
      <c r="J38" s="6">
        <v>0.0</v>
      </c>
      <c r="K38" s="6">
        <v>1.0</v>
      </c>
      <c r="L38" s="6">
        <v>7.0</v>
      </c>
    </row>
    <row r="39">
      <c r="A39" s="6" t="s">
        <v>87</v>
      </c>
      <c r="B39" s="6" t="s">
        <v>45</v>
      </c>
      <c r="C39" s="6">
        <v>25.0</v>
      </c>
      <c r="D39" s="6">
        <v>41.0</v>
      </c>
      <c r="E39" s="6">
        <v>0.0</v>
      </c>
      <c r="F39" s="6">
        <v>8.0</v>
      </c>
      <c r="G39" s="10">
        <f t="shared" si="1"/>
        <v>3.125</v>
      </c>
      <c r="H39" s="6">
        <v>41.0</v>
      </c>
      <c r="I39" s="6">
        <v>0.0</v>
      </c>
      <c r="J39" s="6">
        <v>0.0</v>
      </c>
      <c r="K39" s="6">
        <v>1.0</v>
      </c>
      <c r="L39" s="6">
        <v>7.0</v>
      </c>
    </row>
    <row r="40">
      <c r="A40" s="6" t="s">
        <v>44</v>
      </c>
      <c r="B40" s="6" t="s">
        <v>45</v>
      </c>
      <c r="C40" s="6">
        <v>25.0</v>
      </c>
      <c r="D40" s="6">
        <v>43.0</v>
      </c>
      <c r="E40" s="6">
        <v>0.0</v>
      </c>
      <c r="F40" s="6">
        <v>9.0</v>
      </c>
      <c r="G40" s="10">
        <f t="shared" si="1"/>
        <v>2.777777778</v>
      </c>
      <c r="H40" s="6">
        <v>43.0</v>
      </c>
      <c r="I40" s="6">
        <v>0.0</v>
      </c>
      <c r="J40" s="6">
        <v>0.0</v>
      </c>
      <c r="K40" s="6">
        <v>1.0</v>
      </c>
      <c r="L40" s="6">
        <v>8.0</v>
      </c>
    </row>
    <row r="41">
      <c r="A41" s="6" t="s">
        <v>134</v>
      </c>
      <c r="B41" s="6" t="s">
        <v>45</v>
      </c>
      <c r="C41" s="6">
        <v>25.0</v>
      </c>
      <c r="D41" s="6">
        <v>45.0</v>
      </c>
      <c r="E41" s="6">
        <v>0.0</v>
      </c>
      <c r="F41" s="6">
        <v>8.0</v>
      </c>
      <c r="G41" s="10">
        <f t="shared" si="1"/>
        <v>3.125</v>
      </c>
      <c r="H41" s="6">
        <v>45.0</v>
      </c>
      <c r="I41" s="6">
        <v>0.0</v>
      </c>
      <c r="J41" s="6">
        <v>0.0</v>
      </c>
      <c r="K41" s="6">
        <v>0.0</v>
      </c>
      <c r="L41" s="6">
        <v>8.0</v>
      </c>
    </row>
    <row r="42">
      <c r="A42" s="6" t="s">
        <v>153</v>
      </c>
      <c r="B42" s="6" t="s">
        <v>45</v>
      </c>
      <c r="C42" s="6">
        <v>30.0</v>
      </c>
      <c r="D42" s="6">
        <v>54.0</v>
      </c>
      <c r="E42" s="6">
        <v>0.0</v>
      </c>
      <c r="F42" s="6">
        <v>8.0</v>
      </c>
      <c r="G42" s="10">
        <f t="shared" si="1"/>
        <v>3.75</v>
      </c>
      <c r="H42" s="6">
        <v>54.0</v>
      </c>
      <c r="I42" s="6">
        <v>0.0</v>
      </c>
      <c r="J42" s="6">
        <v>0.0</v>
      </c>
      <c r="K42" s="6">
        <v>0.0</v>
      </c>
      <c r="L42" s="6">
        <v>8.0</v>
      </c>
    </row>
    <row r="43">
      <c r="A43" s="6" t="s">
        <v>51</v>
      </c>
      <c r="B43" s="6" t="s">
        <v>45</v>
      </c>
      <c r="C43" s="6">
        <v>30.0</v>
      </c>
      <c r="D43" s="6">
        <v>59.0</v>
      </c>
      <c r="E43" s="6">
        <v>0.0</v>
      </c>
      <c r="F43" s="6">
        <v>9.0</v>
      </c>
      <c r="G43" s="10">
        <f t="shared" si="1"/>
        <v>3.333333333</v>
      </c>
      <c r="H43" s="6">
        <v>59.0</v>
      </c>
      <c r="I43" s="6">
        <v>0.0</v>
      </c>
      <c r="J43" s="6">
        <v>0.0</v>
      </c>
      <c r="K43" s="6">
        <v>0.0</v>
      </c>
      <c r="L43" s="6">
        <v>9.0</v>
      </c>
    </row>
    <row r="44">
      <c r="A44" s="6" t="s">
        <v>96</v>
      </c>
      <c r="B44" s="6" t="s">
        <v>45</v>
      </c>
      <c r="C44" s="6">
        <v>30.0</v>
      </c>
      <c r="D44" s="6">
        <v>64.0</v>
      </c>
      <c r="E44" s="6">
        <v>0.0</v>
      </c>
      <c r="F44" s="6">
        <v>10.0</v>
      </c>
      <c r="G44" s="10">
        <f t="shared" si="1"/>
        <v>3</v>
      </c>
      <c r="H44" s="6">
        <v>64.0</v>
      </c>
      <c r="I44" s="6">
        <v>0.0</v>
      </c>
      <c r="J44" s="6">
        <v>0.0</v>
      </c>
      <c r="K44" s="6">
        <v>0.0</v>
      </c>
      <c r="L44" s="6">
        <v>10.0</v>
      </c>
    </row>
    <row r="45">
      <c r="A45" s="6" t="s">
        <v>106</v>
      </c>
      <c r="B45" s="6" t="s">
        <v>45</v>
      </c>
      <c r="C45" s="6">
        <v>30.0</v>
      </c>
      <c r="D45" s="6">
        <v>62.0</v>
      </c>
      <c r="E45" s="6">
        <v>0.0</v>
      </c>
      <c r="F45" s="6">
        <v>9.0</v>
      </c>
      <c r="G45" s="10">
        <f t="shared" si="1"/>
        <v>3.333333333</v>
      </c>
      <c r="H45" s="6">
        <v>62.0</v>
      </c>
      <c r="I45" s="6">
        <v>0.0</v>
      </c>
      <c r="J45" s="6">
        <v>0.0</v>
      </c>
      <c r="K45" s="6">
        <v>1.0</v>
      </c>
      <c r="L45" s="6">
        <v>8.0</v>
      </c>
    </row>
    <row r="46">
      <c r="A46" s="6" t="s">
        <v>91</v>
      </c>
      <c r="B46" s="6" t="s">
        <v>45</v>
      </c>
      <c r="C46" s="6">
        <v>30.0</v>
      </c>
      <c r="D46" s="6">
        <v>58.0</v>
      </c>
      <c r="E46" s="6">
        <v>0.0</v>
      </c>
      <c r="F46" s="6">
        <v>9.0</v>
      </c>
      <c r="G46" s="10">
        <f t="shared" si="1"/>
        <v>3.333333333</v>
      </c>
      <c r="H46" s="6">
        <v>58.0</v>
      </c>
      <c r="I46" s="6">
        <v>0.0</v>
      </c>
      <c r="J46" s="6">
        <v>0.0</v>
      </c>
      <c r="K46" s="6">
        <v>0.0</v>
      </c>
      <c r="L46" s="6">
        <v>9.0</v>
      </c>
    </row>
    <row r="47">
      <c r="A47" s="6" t="s">
        <v>66</v>
      </c>
      <c r="B47" s="6" t="s">
        <v>45</v>
      </c>
      <c r="C47" s="6">
        <v>40.0</v>
      </c>
      <c r="D47" s="6">
        <v>88.0</v>
      </c>
      <c r="E47" s="6">
        <v>0.0</v>
      </c>
      <c r="F47" s="6">
        <v>12.0</v>
      </c>
      <c r="G47" s="10">
        <f t="shared" si="1"/>
        <v>3.333333333</v>
      </c>
      <c r="H47" s="6">
        <v>88.0</v>
      </c>
      <c r="I47" s="6">
        <v>0.0</v>
      </c>
      <c r="J47" s="6">
        <v>0.0</v>
      </c>
      <c r="K47" s="6">
        <v>1.0</v>
      </c>
      <c r="L47" s="6">
        <v>11.0</v>
      </c>
    </row>
    <row r="48">
      <c r="A48" s="6" t="s">
        <v>75</v>
      </c>
      <c r="B48" s="6" t="s">
        <v>45</v>
      </c>
      <c r="C48" s="6">
        <v>40.0</v>
      </c>
      <c r="D48" s="6">
        <v>82.0</v>
      </c>
      <c r="E48" s="6">
        <v>0.0</v>
      </c>
      <c r="F48" s="6">
        <v>12.0</v>
      </c>
      <c r="G48" s="10">
        <f t="shared" si="1"/>
        <v>3.333333333</v>
      </c>
      <c r="H48" s="6">
        <v>82.0</v>
      </c>
      <c r="I48" s="6">
        <v>0.0</v>
      </c>
      <c r="J48" s="6">
        <v>0.0</v>
      </c>
      <c r="K48" s="6">
        <v>0.0</v>
      </c>
      <c r="L48" s="6">
        <v>12.0</v>
      </c>
    </row>
    <row r="49">
      <c r="A49" s="6" t="s">
        <v>58</v>
      </c>
      <c r="B49" s="6" t="s">
        <v>45</v>
      </c>
      <c r="C49" s="6">
        <v>40.0</v>
      </c>
      <c r="D49" s="6">
        <v>91.0</v>
      </c>
      <c r="E49" s="6">
        <v>0.0</v>
      </c>
      <c r="F49" s="6">
        <v>13.0</v>
      </c>
      <c r="G49" s="10">
        <f t="shared" si="1"/>
        <v>3.076923077</v>
      </c>
      <c r="H49" s="6">
        <v>91.0</v>
      </c>
      <c r="I49" s="6">
        <v>0.0</v>
      </c>
      <c r="J49" s="6">
        <v>0.0</v>
      </c>
      <c r="K49" s="6">
        <v>0.0</v>
      </c>
      <c r="L49" s="6">
        <v>13.0</v>
      </c>
    </row>
    <row r="50">
      <c r="A50" s="6" t="s">
        <v>108</v>
      </c>
      <c r="B50" s="6" t="s">
        <v>45</v>
      </c>
      <c r="C50" s="6">
        <v>40.0</v>
      </c>
      <c r="D50" s="6">
        <v>93.0</v>
      </c>
      <c r="E50" s="6">
        <v>0.0</v>
      </c>
      <c r="F50" s="6">
        <v>13.0</v>
      </c>
      <c r="G50" s="10">
        <f t="shared" si="1"/>
        <v>3.076923077</v>
      </c>
      <c r="H50" s="6">
        <v>93.0</v>
      </c>
      <c r="I50" s="6">
        <v>0.0</v>
      </c>
      <c r="J50" s="6">
        <v>0.0</v>
      </c>
      <c r="K50" s="6">
        <v>2.0</v>
      </c>
      <c r="L50" s="6">
        <v>11.0</v>
      </c>
    </row>
    <row r="51">
      <c r="A51" s="6" t="s">
        <v>122</v>
      </c>
      <c r="B51" s="6" t="s">
        <v>45</v>
      </c>
      <c r="C51" s="6">
        <v>40.0</v>
      </c>
      <c r="D51" s="6">
        <v>92.0</v>
      </c>
      <c r="E51" s="6">
        <v>0.0</v>
      </c>
      <c r="F51" s="6">
        <v>14.0</v>
      </c>
      <c r="G51" s="10">
        <f t="shared" si="1"/>
        <v>2.857142857</v>
      </c>
      <c r="H51" s="6">
        <v>92.0</v>
      </c>
      <c r="I51" s="6">
        <v>0.0</v>
      </c>
      <c r="J51" s="6">
        <v>0.0</v>
      </c>
      <c r="K51" s="6">
        <v>2.0</v>
      </c>
      <c r="L51" s="6">
        <v>12.0</v>
      </c>
    </row>
    <row r="52">
      <c r="A52" s="6" t="s">
        <v>88</v>
      </c>
      <c r="B52" s="6" t="s">
        <v>45</v>
      </c>
      <c r="C52" s="6">
        <v>50.0</v>
      </c>
      <c r="D52" s="6">
        <v>114.0</v>
      </c>
      <c r="E52" s="6">
        <v>0.0</v>
      </c>
      <c r="F52" s="6">
        <v>16.0</v>
      </c>
      <c r="G52" s="10">
        <f t="shared" si="1"/>
        <v>3.125</v>
      </c>
      <c r="H52" s="6">
        <v>114.0</v>
      </c>
      <c r="I52" s="6">
        <v>0.0</v>
      </c>
      <c r="J52" s="6">
        <v>0.0</v>
      </c>
      <c r="K52" s="6">
        <v>2.0</v>
      </c>
      <c r="L52" s="6">
        <v>14.0</v>
      </c>
    </row>
    <row r="53">
      <c r="A53" s="6" t="s">
        <v>135</v>
      </c>
      <c r="B53" s="6" t="s">
        <v>45</v>
      </c>
      <c r="C53" s="6">
        <v>50.0</v>
      </c>
      <c r="D53" s="6">
        <v>123.0</v>
      </c>
      <c r="E53" s="6">
        <v>0.0</v>
      </c>
      <c r="F53" s="6">
        <v>14.0</v>
      </c>
      <c r="G53" s="10">
        <f t="shared" si="1"/>
        <v>3.571428571</v>
      </c>
      <c r="H53" s="6">
        <v>123.0</v>
      </c>
      <c r="I53" s="6">
        <v>0.0</v>
      </c>
      <c r="J53" s="6">
        <v>0.0</v>
      </c>
      <c r="K53" s="6">
        <v>0.0</v>
      </c>
      <c r="L53" s="6">
        <v>14.0</v>
      </c>
    </row>
    <row r="54">
      <c r="A54" s="6" t="s">
        <v>54</v>
      </c>
      <c r="B54" s="6" t="s">
        <v>45</v>
      </c>
      <c r="C54" s="6">
        <v>50.0</v>
      </c>
      <c r="D54" s="6">
        <v>122.0</v>
      </c>
      <c r="E54" s="6">
        <v>0.0</v>
      </c>
      <c r="F54" s="6">
        <v>16.0</v>
      </c>
      <c r="G54" s="10">
        <f t="shared" si="1"/>
        <v>3.125</v>
      </c>
      <c r="H54" s="6">
        <v>122.0</v>
      </c>
      <c r="I54" s="6">
        <v>0.0</v>
      </c>
      <c r="J54" s="6">
        <v>0.0</v>
      </c>
      <c r="K54" s="6">
        <v>2.0</v>
      </c>
      <c r="L54" s="6">
        <v>14.0</v>
      </c>
    </row>
    <row r="55">
      <c r="A55" s="6" t="s">
        <v>148</v>
      </c>
      <c r="B55" s="6" t="s">
        <v>45</v>
      </c>
      <c r="C55" s="6">
        <v>50.0</v>
      </c>
      <c r="D55" s="6">
        <v>118.0</v>
      </c>
      <c r="E55" s="6">
        <v>0.0</v>
      </c>
      <c r="F55" s="6">
        <v>16.0</v>
      </c>
      <c r="G55" s="10">
        <f t="shared" si="1"/>
        <v>3.125</v>
      </c>
      <c r="H55" s="6">
        <v>118.0</v>
      </c>
      <c r="I55" s="6">
        <v>0.0</v>
      </c>
      <c r="J55" s="6">
        <v>0.0</v>
      </c>
      <c r="K55" s="6">
        <v>0.0</v>
      </c>
      <c r="L55" s="6">
        <v>16.0</v>
      </c>
    </row>
    <row r="56">
      <c r="A56" s="6" t="s">
        <v>76</v>
      </c>
      <c r="B56" s="6" t="s">
        <v>45</v>
      </c>
      <c r="C56" s="6">
        <v>50.0</v>
      </c>
      <c r="D56" s="6">
        <v>127.0</v>
      </c>
      <c r="E56" s="6">
        <v>0.0</v>
      </c>
      <c r="F56" s="6">
        <v>16.0</v>
      </c>
      <c r="G56" s="10">
        <f t="shared" si="1"/>
        <v>3.125</v>
      </c>
      <c r="H56" s="6">
        <v>127.0</v>
      </c>
      <c r="I56" s="6">
        <v>0.0</v>
      </c>
      <c r="J56" s="6">
        <v>0.0</v>
      </c>
      <c r="K56" s="6">
        <v>1.0</v>
      </c>
      <c r="L56" s="6">
        <v>15.0</v>
      </c>
    </row>
    <row r="57">
      <c r="A57" s="6" t="s">
        <v>62</v>
      </c>
      <c r="B57" s="6" t="s">
        <v>45</v>
      </c>
      <c r="C57" s="6">
        <v>75.0</v>
      </c>
      <c r="D57" s="6">
        <v>219.0</v>
      </c>
      <c r="E57" s="6">
        <v>0.0</v>
      </c>
      <c r="F57" s="6">
        <v>22.0</v>
      </c>
      <c r="G57" s="10">
        <f t="shared" si="1"/>
        <v>3.409090909</v>
      </c>
      <c r="H57" s="6">
        <v>219.0</v>
      </c>
      <c r="I57" s="6">
        <v>0.0</v>
      </c>
      <c r="J57" s="6">
        <v>0.0</v>
      </c>
      <c r="K57" s="6">
        <v>4.0</v>
      </c>
      <c r="L57" s="6">
        <v>18.0</v>
      </c>
    </row>
    <row r="58">
      <c r="A58" s="6" t="s">
        <v>72</v>
      </c>
      <c r="B58" s="6" t="s">
        <v>45</v>
      </c>
      <c r="C58" s="6">
        <v>75.0</v>
      </c>
      <c r="D58" s="6">
        <v>186.0</v>
      </c>
      <c r="E58" s="6">
        <v>0.0</v>
      </c>
      <c r="F58" s="6">
        <v>25.0</v>
      </c>
      <c r="G58" s="10">
        <f t="shared" si="1"/>
        <v>3</v>
      </c>
      <c r="H58" s="6">
        <v>186.0</v>
      </c>
      <c r="I58" s="6">
        <v>0.0</v>
      </c>
      <c r="J58" s="6">
        <v>0.0</v>
      </c>
      <c r="K58" s="6">
        <v>3.0</v>
      </c>
      <c r="L58" s="6">
        <v>22.0</v>
      </c>
    </row>
    <row r="59">
      <c r="A59" s="6" t="s">
        <v>74</v>
      </c>
      <c r="B59" s="6" t="s">
        <v>45</v>
      </c>
      <c r="C59" s="6">
        <v>75.0</v>
      </c>
      <c r="D59" s="6">
        <v>194.0</v>
      </c>
      <c r="E59" s="6">
        <v>0.0</v>
      </c>
      <c r="F59" s="6">
        <v>24.0</v>
      </c>
      <c r="G59" s="10">
        <f t="shared" si="1"/>
        <v>3.125</v>
      </c>
      <c r="H59" s="6">
        <v>194.0</v>
      </c>
      <c r="I59" s="6">
        <v>0.0</v>
      </c>
      <c r="J59" s="6">
        <v>0.0</v>
      </c>
      <c r="K59" s="6">
        <v>4.0</v>
      </c>
      <c r="L59" s="6">
        <v>20.0</v>
      </c>
    </row>
    <row r="60">
      <c r="A60" s="6" t="s">
        <v>120</v>
      </c>
      <c r="B60" s="6" t="s">
        <v>45</v>
      </c>
      <c r="C60" s="6">
        <v>75.0</v>
      </c>
      <c r="D60" s="6">
        <v>188.0</v>
      </c>
      <c r="E60" s="6">
        <v>0.0</v>
      </c>
      <c r="F60" s="6">
        <v>23.0</v>
      </c>
      <c r="G60" s="10">
        <f t="shared" si="1"/>
        <v>3.260869565</v>
      </c>
      <c r="H60" s="6">
        <v>188.0</v>
      </c>
      <c r="I60" s="6">
        <v>0.0</v>
      </c>
      <c r="J60" s="6">
        <v>0.0</v>
      </c>
      <c r="K60" s="6">
        <v>3.0</v>
      </c>
      <c r="L60" s="6">
        <v>20.0</v>
      </c>
    </row>
    <row r="61">
      <c r="A61" s="6" t="s">
        <v>119</v>
      </c>
      <c r="B61" s="6" t="s">
        <v>45</v>
      </c>
      <c r="C61" s="6">
        <v>75.0</v>
      </c>
      <c r="D61" s="6">
        <v>192.0</v>
      </c>
      <c r="E61" s="6">
        <v>0.0</v>
      </c>
      <c r="F61" s="6">
        <v>23.0</v>
      </c>
      <c r="G61" s="10">
        <f t="shared" si="1"/>
        <v>3.260869565</v>
      </c>
      <c r="H61" s="6">
        <v>192.0</v>
      </c>
      <c r="I61" s="6">
        <v>0.0</v>
      </c>
      <c r="J61" s="6">
        <v>1.0</v>
      </c>
      <c r="K61" s="6">
        <v>1.0</v>
      </c>
      <c r="L61" s="6">
        <v>21.0</v>
      </c>
    </row>
    <row r="62">
      <c r="A62" s="6" t="s">
        <v>101</v>
      </c>
      <c r="B62" s="6" t="s">
        <v>45</v>
      </c>
      <c r="C62" s="6">
        <v>100.0</v>
      </c>
      <c r="D62" s="6">
        <v>298.0</v>
      </c>
      <c r="E62" s="6">
        <v>0.0</v>
      </c>
      <c r="F62" s="6">
        <v>29.0</v>
      </c>
      <c r="G62" s="10">
        <f t="shared" si="1"/>
        <v>3.448275862</v>
      </c>
      <c r="H62" s="6">
        <v>298.0</v>
      </c>
      <c r="I62" s="6">
        <v>0.0</v>
      </c>
      <c r="J62" s="6">
        <v>0.0</v>
      </c>
      <c r="K62" s="6">
        <v>4.0</v>
      </c>
      <c r="L62" s="6">
        <v>25.0</v>
      </c>
    </row>
    <row r="63">
      <c r="A63" s="6" t="s">
        <v>117</v>
      </c>
      <c r="B63" s="6" t="s">
        <v>45</v>
      </c>
      <c r="C63" s="6">
        <v>100.0</v>
      </c>
      <c r="D63" s="6">
        <v>280.0</v>
      </c>
      <c r="E63" s="6">
        <v>0.0</v>
      </c>
      <c r="F63" s="6">
        <v>33.0</v>
      </c>
      <c r="G63" s="10">
        <f t="shared" si="1"/>
        <v>3.03030303</v>
      </c>
      <c r="H63" s="6">
        <v>280.0</v>
      </c>
      <c r="I63" s="6">
        <v>0.0</v>
      </c>
      <c r="J63" s="6">
        <v>0.0</v>
      </c>
      <c r="K63" s="6">
        <v>6.0</v>
      </c>
      <c r="L63" s="6">
        <v>27.0</v>
      </c>
    </row>
    <row r="64">
      <c r="A64" s="6" t="s">
        <v>98</v>
      </c>
      <c r="B64" s="6" t="s">
        <v>45</v>
      </c>
      <c r="C64" s="6">
        <v>100.0</v>
      </c>
      <c r="D64" s="6">
        <v>300.0</v>
      </c>
      <c r="E64" s="6">
        <v>0.0</v>
      </c>
      <c r="F64" s="6">
        <v>30.0</v>
      </c>
      <c r="G64" s="10">
        <f t="shared" si="1"/>
        <v>3.333333333</v>
      </c>
      <c r="H64" s="6">
        <v>300.0</v>
      </c>
      <c r="I64" s="6">
        <v>0.0</v>
      </c>
      <c r="J64" s="6">
        <v>1.0</v>
      </c>
      <c r="K64" s="6">
        <v>5.0</v>
      </c>
      <c r="L64" s="6">
        <v>24.0</v>
      </c>
    </row>
    <row r="65">
      <c r="A65" s="6" t="s">
        <v>143</v>
      </c>
      <c r="B65" s="6" t="s">
        <v>45</v>
      </c>
      <c r="C65" s="6">
        <v>100.0</v>
      </c>
      <c r="D65" s="6">
        <v>273.0</v>
      </c>
      <c r="E65" s="6">
        <v>0.0</v>
      </c>
      <c r="F65" s="6">
        <v>32.0</v>
      </c>
      <c r="G65" s="10">
        <f t="shared" si="1"/>
        <v>3.125</v>
      </c>
      <c r="H65" s="6">
        <v>273.0</v>
      </c>
      <c r="I65" s="6">
        <v>0.0</v>
      </c>
      <c r="J65" s="6">
        <v>0.0</v>
      </c>
      <c r="K65" s="6">
        <v>4.0</v>
      </c>
      <c r="L65" s="6">
        <v>28.0</v>
      </c>
    </row>
    <row r="66">
      <c r="A66" s="6" t="s">
        <v>92</v>
      </c>
      <c r="B66" s="6" t="s">
        <v>45</v>
      </c>
      <c r="C66" s="6">
        <v>100.0</v>
      </c>
      <c r="D66" s="6">
        <v>304.0</v>
      </c>
      <c r="E66" s="6">
        <v>0.0</v>
      </c>
      <c r="F66" s="6">
        <v>29.0</v>
      </c>
      <c r="G66" s="10">
        <f t="shared" si="1"/>
        <v>3.448275862</v>
      </c>
      <c r="H66" s="6">
        <v>304.0</v>
      </c>
      <c r="I66" s="6">
        <v>0.0</v>
      </c>
      <c r="J66" s="6">
        <v>0.0</v>
      </c>
      <c r="K66" s="6">
        <v>3.0</v>
      </c>
      <c r="L66" s="6">
        <v>26.0</v>
      </c>
    </row>
    <row r="67">
      <c r="A67" s="6" t="s">
        <v>97</v>
      </c>
      <c r="B67" s="6" t="s">
        <v>45</v>
      </c>
      <c r="C67" s="6">
        <v>125.0</v>
      </c>
      <c r="D67" s="6">
        <v>384.0</v>
      </c>
      <c r="E67" s="6">
        <v>0.1</v>
      </c>
      <c r="F67" s="6">
        <v>37.0</v>
      </c>
      <c r="G67" s="10">
        <f t="shared" si="1"/>
        <v>3.378378378</v>
      </c>
      <c r="H67" s="6">
        <v>384.0</v>
      </c>
      <c r="I67" s="6">
        <v>0.0</v>
      </c>
      <c r="J67" s="6">
        <v>0.0</v>
      </c>
      <c r="K67" s="6">
        <v>7.0</v>
      </c>
      <c r="L67" s="6">
        <v>30.0</v>
      </c>
    </row>
    <row r="68">
      <c r="A68" s="6" t="s">
        <v>121</v>
      </c>
      <c r="B68" s="6" t="s">
        <v>45</v>
      </c>
      <c r="C68" s="6">
        <v>125.0</v>
      </c>
      <c r="D68" s="6">
        <v>383.0</v>
      </c>
      <c r="E68" s="6">
        <v>0.1</v>
      </c>
      <c r="F68" s="6">
        <v>39.0</v>
      </c>
      <c r="G68" s="10">
        <f t="shared" si="1"/>
        <v>3.205128205</v>
      </c>
      <c r="H68" s="6">
        <v>383.0</v>
      </c>
      <c r="I68" s="6">
        <v>0.0</v>
      </c>
      <c r="J68" s="6">
        <v>0.0</v>
      </c>
      <c r="K68" s="6">
        <v>6.0</v>
      </c>
      <c r="L68" s="6">
        <v>33.0</v>
      </c>
    </row>
    <row r="69">
      <c r="A69" s="6" t="s">
        <v>116</v>
      </c>
      <c r="B69" s="6" t="s">
        <v>45</v>
      </c>
      <c r="C69" s="6">
        <v>125.0</v>
      </c>
      <c r="D69" s="6">
        <v>377.0</v>
      </c>
      <c r="E69" s="6">
        <v>0.1</v>
      </c>
      <c r="F69" s="6">
        <v>40.0</v>
      </c>
      <c r="G69" s="10">
        <f t="shared" si="1"/>
        <v>3.125</v>
      </c>
      <c r="H69" s="6">
        <v>377.0</v>
      </c>
      <c r="I69" s="6">
        <v>0.0</v>
      </c>
      <c r="J69" s="6">
        <v>1.0</v>
      </c>
      <c r="K69" s="6">
        <v>8.0</v>
      </c>
      <c r="L69" s="6">
        <v>31.0</v>
      </c>
    </row>
    <row r="70">
      <c r="A70" s="6" t="s">
        <v>102</v>
      </c>
      <c r="B70" s="6" t="s">
        <v>45</v>
      </c>
      <c r="C70" s="6">
        <v>125.0</v>
      </c>
      <c r="D70" s="6">
        <v>356.0</v>
      </c>
      <c r="E70" s="6">
        <v>0.1</v>
      </c>
      <c r="F70" s="6">
        <v>38.0</v>
      </c>
      <c r="G70" s="10">
        <f t="shared" si="1"/>
        <v>3.289473684</v>
      </c>
      <c r="H70" s="6">
        <v>356.0</v>
      </c>
      <c r="I70" s="6">
        <v>0.0</v>
      </c>
      <c r="J70" s="6">
        <v>0.0</v>
      </c>
      <c r="K70" s="6">
        <v>3.0</v>
      </c>
      <c r="L70" s="6">
        <v>35.0</v>
      </c>
    </row>
    <row r="71">
      <c r="A71" s="6" t="s">
        <v>147</v>
      </c>
      <c r="B71" s="6" t="s">
        <v>45</v>
      </c>
      <c r="C71" s="6">
        <v>125.0</v>
      </c>
      <c r="D71" s="6">
        <v>379.0</v>
      </c>
      <c r="E71" s="6">
        <v>0.1</v>
      </c>
      <c r="F71" s="6">
        <v>38.0</v>
      </c>
      <c r="G71" s="10">
        <f t="shared" si="1"/>
        <v>3.289473684</v>
      </c>
      <c r="H71" s="6">
        <v>379.0</v>
      </c>
      <c r="I71" s="6">
        <v>0.0</v>
      </c>
      <c r="J71" s="6">
        <v>0.0</v>
      </c>
      <c r="K71" s="6">
        <v>8.0</v>
      </c>
      <c r="L71" s="6">
        <v>30.0</v>
      </c>
    </row>
    <row r="72">
      <c r="A72" s="6" t="s">
        <v>146</v>
      </c>
      <c r="B72" s="6" t="s">
        <v>45</v>
      </c>
      <c r="C72" s="6">
        <v>150.0</v>
      </c>
      <c r="D72" s="6">
        <v>465.0</v>
      </c>
      <c r="E72" s="6">
        <v>0.1</v>
      </c>
      <c r="F72" s="6">
        <v>46.0</v>
      </c>
      <c r="G72" s="10">
        <f t="shared" si="1"/>
        <v>3.260869565</v>
      </c>
      <c r="H72" s="6">
        <v>465.0</v>
      </c>
      <c r="I72" s="6">
        <v>0.0</v>
      </c>
      <c r="J72" s="6">
        <v>1.0</v>
      </c>
      <c r="K72" s="6">
        <v>6.0</v>
      </c>
      <c r="L72" s="6">
        <v>39.0</v>
      </c>
    </row>
    <row r="73">
      <c r="A73" s="6" t="s">
        <v>89</v>
      </c>
      <c r="B73" s="6" t="s">
        <v>45</v>
      </c>
      <c r="C73" s="6">
        <v>150.0</v>
      </c>
      <c r="D73" s="6">
        <v>467.0</v>
      </c>
      <c r="E73" s="6">
        <v>0.1</v>
      </c>
      <c r="F73" s="6">
        <v>46.0</v>
      </c>
      <c r="G73" s="10">
        <f t="shared" si="1"/>
        <v>3.260869565</v>
      </c>
      <c r="H73" s="6">
        <v>467.0</v>
      </c>
      <c r="I73" s="6">
        <v>0.0</v>
      </c>
      <c r="J73" s="6">
        <v>1.0</v>
      </c>
      <c r="K73" s="6">
        <v>9.0</v>
      </c>
      <c r="L73" s="6">
        <v>36.0</v>
      </c>
    </row>
    <row r="74">
      <c r="A74" s="6" t="s">
        <v>47</v>
      </c>
      <c r="B74" s="6" t="s">
        <v>45</v>
      </c>
      <c r="C74" s="6">
        <v>150.0</v>
      </c>
      <c r="D74" s="6">
        <v>471.0</v>
      </c>
      <c r="E74" s="6">
        <v>0.1</v>
      </c>
      <c r="F74" s="6">
        <v>45.0</v>
      </c>
      <c r="G74" s="10">
        <f t="shared" si="1"/>
        <v>3.333333333</v>
      </c>
      <c r="H74" s="6">
        <v>471.0</v>
      </c>
      <c r="I74" s="6">
        <v>0.0</v>
      </c>
      <c r="J74" s="6">
        <v>1.0</v>
      </c>
      <c r="K74" s="6">
        <v>9.0</v>
      </c>
      <c r="L74" s="6">
        <v>35.0</v>
      </c>
    </row>
    <row r="75">
      <c r="A75" s="6" t="s">
        <v>137</v>
      </c>
      <c r="B75" s="6" t="s">
        <v>45</v>
      </c>
      <c r="C75" s="6">
        <v>150.0</v>
      </c>
      <c r="D75" s="6">
        <v>467.0</v>
      </c>
      <c r="E75" s="6">
        <v>0.1</v>
      </c>
      <c r="F75" s="6">
        <v>46.0</v>
      </c>
      <c r="G75" s="10">
        <f t="shared" si="1"/>
        <v>3.260869565</v>
      </c>
      <c r="H75" s="6">
        <v>467.0</v>
      </c>
      <c r="I75" s="6">
        <v>0.0</v>
      </c>
      <c r="J75" s="6">
        <v>3.0</v>
      </c>
      <c r="K75" s="6">
        <v>9.0</v>
      </c>
      <c r="L75" s="6">
        <v>34.0</v>
      </c>
    </row>
    <row r="76">
      <c r="A76" s="6" t="s">
        <v>136</v>
      </c>
      <c r="B76" s="6" t="s">
        <v>45</v>
      </c>
      <c r="C76" s="6">
        <v>150.0</v>
      </c>
      <c r="D76" s="6">
        <v>421.0</v>
      </c>
      <c r="E76" s="6">
        <v>0.1</v>
      </c>
      <c r="F76" s="6">
        <v>47.0</v>
      </c>
      <c r="G76" s="10">
        <f t="shared" si="1"/>
        <v>3.191489362</v>
      </c>
      <c r="H76" s="6">
        <v>421.0</v>
      </c>
      <c r="I76" s="6">
        <v>0.0</v>
      </c>
      <c r="J76" s="6">
        <v>0.0</v>
      </c>
      <c r="K76" s="6">
        <v>10.0</v>
      </c>
      <c r="L76" s="6">
        <v>37.0</v>
      </c>
    </row>
    <row r="77">
      <c r="A77" s="6" t="s">
        <v>128</v>
      </c>
      <c r="B77" s="6" t="s">
        <v>45</v>
      </c>
      <c r="C77" s="6">
        <v>200.0</v>
      </c>
      <c r="D77" s="6">
        <v>661.0</v>
      </c>
      <c r="E77" s="6">
        <v>0.1</v>
      </c>
      <c r="F77" s="6">
        <v>61.0</v>
      </c>
      <c r="G77" s="10">
        <f t="shared" si="1"/>
        <v>3.278688525</v>
      </c>
      <c r="H77" s="6">
        <v>661.0</v>
      </c>
      <c r="I77" s="6">
        <v>0.0</v>
      </c>
      <c r="J77" s="6">
        <v>1.0</v>
      </c>
      <c r="K77" s="6">
        <v>21.0</v>
      </c>
      <c r="L77" s="6">
        <v>39.0</v>
      </c>
    </row>
    <row r="78">
      <c r="A78" s="6" t="s">
        <v>68</v>
      </c>
      <c r="B78" s="6" t="s">
        <v>45</v>
      </c>
      <c r="C78" s="6">
        <v>200.0</v>
      </c>
      <c r="D78" s="6">
        <v>614.0</v>
      </c>
      <c r="E78" s="6">
        <v>0.1</v>
      </c>
      <c r="F78" s="6">
        <v>61.0</v>
      </c>
      <c r="G78" s="10">
        <f t="shared" si="1"/>
        <v>3.278688525</v>
      </c>
      <c r="H78" s="6">
        <v>614.0</v>
      </c>
      <c r="I78" s="6">
        <v>0.0</v>
      </c>
      <c r="J78" s="6">
        <v>3.0</v>
      </c>
      <c r="K78" s="6">
        <v>15.0</v>
      </c>
      <c r="L78" s="6">
        <v>43.0</v>
      </c>
    </row>
    <row r="79">
      <c r="A79" s="6" t="s">
        <v>112</v>
      </c>
      <c r="B79" s="6" t="s">
        <v>45</v>
      </c>
      <c r="C79" s="6">
        <v>200.0</v>
      </c>
      <c r="D79" s="6">
        <v>648.0</v>
      </c>
      <c r="E79" s="6">
        <v>0.1</v>
      </c>
      <c r="F79" s="6">
        <v>59.0</v>
      </c>
      <c r="G79" s="10">
        <f t="shared" si="1"/>
        <v>3.389830508</v>
      </c>
      <c r="H79" s="6">
        <v>648.0</v>
      </c>
      <c r="I79" s="6">
        <v>0.0</v>
      </c>
      <c r="J79" s="6">
        <v>1.0</v>
      </c>
      <c r="K79" s="6">
        <v>15.0</v>
      </c>
      <c r="L79" s="6">
        <v>43.0</v>
      </c>
    </row>
    <row r="80">
      <c r="A80" s="6" t="s">
        <v>145</v>
      </c>
      <c r="B80" s="6" t="s">
        <v>45</v>
      </c>
      <c r="C80" s="6">
        <v>200.0</v>
      </c>
      <c r="D80" s="6">
        <v>665.0</v>
      </c>
      <c r="E80" s="6">
        <v>0.1</v>
      </c>
      <c r="F80" s="6">
        <v>60.0</v>
      </c>
      <c r="G80" s="10">
        <f t="shared" si="1"/>
        <v>3.333333333</v>
      </c>
      <c r="H80" s="6">
        <v>665.0</v>
      </c>
      <c r="I80" s="6">
        <v>0.0</v>
      </c>
      <c r="J80" s="6">
        <v>0.0</v>
      </c>
      <c r="K80" s="6">
        <v>16.0</v>
      </c>
      <c r="L80" s="6">
        <v>44.0</v>
      </c>
    </row>
    <row r="81">
      <c r="A81" s="6" t="s">
        <v>56</v>
      </c>
      <c r="B81" s="6" t="s">
        <v>45</v>
      </c>
      <c r="C81" s="6">
        <v>200.0</v>
      </c>
      <c r="D81" s="6">
        <v>583.0</v>
      </c>
      <c r="E81" s="6">
        <v>0.1</v>
      </c>
      <c r="F81" s="6">
        <v>61.0</v>
      </c>
      <c r="G81" s="10">
        <f t="shared" si="1"/>
        <v>3.278688525</v>
      </c>
      <c r="H81" s="6">
        <v>583.0</v>
      </c>
      <c r="I81" s="6">
        <v>0.0</v>
      </c>
      <c r="J81" s="6">
        <v>1.0</v>
      </c>
      <c r="K81" s="6">
        <v>12.0</v>
      </c>
      <c r="L81" s="6">
        <v>48.0</v>
      </c>
    </row>
    <row r="82">
      <c r="A82" s="6" t="s">
        <v>77</v>
      </c>
      <c r="B82" s="6" t="s">
        <v>45</v>
      </c>
      <c r="C82" s="6">
        <v>250.0</v>
      </c>
      <c r="D82" s="6">
        <v>820.0</v>
      </c>
      <c r="E82" s="6">
        <v>0.2</v>
      </c>
      <c r="F82" s="6">
        <v>76.0</v>
      </c>
      <c r="G82" s="10">
        <f t="shared" si="1"/>
        <v>3.289473684</v>
      </c>
      <c r="H82" s="6">
        <v>820.0</v>
      </c>
      <c r="I82" s="6">
        <v>0.0</v>
      </c>
      <c r="J82" s="6">
        <v>2.0</v>
      </c>
      <c r="K82" s="6">
        <v>23.0</v>
      </c>
      <c r="L82" s="6">
        <v>51.0</v>
      </c>
    </row>
    <row r="83">
      <c r="A83" s="6" t="s">
        <v>67</v>
      </c>
      <c r="B83" s="6" t="s">
        <v>45</v>
      </c>
      <c r="C83" s="6">
        <v>250.0</v>
      </c>
      <c r="D83" s="6">
        <v>791.0</v>
      </c>
      <c r="E83" s="6">
        <v>0.2</v>
      </c>
      <c r="F83" s="6">
        <v>74.0</v>
      </c>
      <c r="G83" s="10">
        <f t="shared" si="1"/>
        <v>3.378378378</v>
      </c>
      <c r="H83" s="6">
        <v>791.0</v>
      </c>
      <c r="I83" s="6">
        <v>0.0</v>
      </c>
      <c r="J83" s="6">
        <v>2.0</v>
      </c>
      <c r="K83" s="6">
        <v>14.0</v>
      </c>
      <c r="L83" s="6">
        <v>58.0</v>
      </c>
    </row>
    <row r="84">
      <c r="A84" s="6" t="s">
        <v>70</v>
      </c>
      <c r="B84" s="6" t="s">
        <v>45</v>
      </c>
      <c r="C84" s="6">
        <v>250.0</v>
      </c>
      <c r="D84" s="6">
        <v>805.0</v>
      </c>
      <c r="E84" s="6">
        <v>0.2</v>
      </c>
      <c r="F84" s="6">
        <v>74.0</v>
      </c>
      <c r="G84" s="10">
        <f t="shared" si="1"/>
        <v>3.378378378</v>
      </c>
      <c r="H84" s="6">
        <v>805.0</v>
      </c>
      <c r="I84" s="6">
        <v>0.0</v>
      </c>
      <c r="J84" s="6">
        <v>3.0</v>
      </c>
      <c r="K84" s="6">
        <v>16.0</v>
      </c>
      <c r="L84" s="6">
        <v>55.0</v>
      </c>
    </row>
    <row r="85">
      <c r="A85" s="6" t="s">
        <v>104</v>
      </c>
      <c r="B85" s="6" t="s">
        <v>45</v>
      </c>
      <c r="C85" s="6">
        <v>250.0</v>
      </c>
      <c r="D85" s="6">
        <v>777.0</v>
      </c>
      <c r="E85" s="6">
        <v>0.2</v>
      </c>
      <c r="F85" s="6">
        <v>74.0</v>
      </c>
      <c r="G85" s="10">
        <f t="shared" si="1"/>
        <v>3.378378378</v>
      </c>
      <c r="H85" s="6">
        <v>777.0</v>
      </c>
      <c r="I85" s="6">
        <v>0.0</v>
      </c>
      <c r="J85" s="6">
        <v>0.0</v>
      </c>
      <c r="K85" s="6">
        <v>15.0</v>
      </c>
      <c r="L85" s="6">
        <v>59.0</v>
      </c>
    </row>
    <row r="86">
      <c r="A86" s="6" t="s">
        <v>84</v>
      </c>
      <c r="B86" s="6" t="s">
        <v>45</v>
      </c>
      <c r="C86" s="6">
        <v>250.0</v>
      </c>
      <c r="D86" s="6">
        <v>815.0</v>
      </c>
      <c r="E86" s="6">
        <v>0.2</v>
      </c>
      <c r="F86" s="6">
        <v>74.0</v>
      </c>
      <c r="G86" s="10">
        <f t="shared" si="1"/>
        <v>3.378378378</v>
      </c>
      <c r="H86" s="6">
        <v>815.0</v>
      </c>
      <c r="I86" s="6">
        <v>0.0</v>
      </c>
      <c r="J86" s="6">
        <v>3.0</v>
      </c>
      <c r="K86" s="6">
        <v>16.0</v>
      </c>
      <c r="L86" s="6">
        <v>55.0</v>
      </c>
    </row>
    <row r="87">
      <c r="A87" s="6" t="s">
        <v>107</v>
      </c>
      <c r="B87" s="6" t="s">
        <v>45</v>
      </c>
      <c r="C87" s="6">
        <v>300.0</v>
      </c>
      <c r="D87" s="6">
        <v>940.0</v>
      </c>
      <c r="E87" s="6">
        <v>0.3</v>
      </c>
      <c r="F87" s="6">
        <v>89.0</v>
      </c>
      <c r="G87" s="10">
        <f t="shared" si="1"/>
        <v>3.370786517</v>
      </c>
      <c r="H87" s="6">
        <v>940.0</v>
      </c>
      <c r="I87" s="6">
        <v>0.0</v>
      </c>
      <c r="J87" s="6">
        <v>1.0</v>
      </c>
      <c r="K87" s="6">
        <v>14.0</v>
      </c>
      <c r="L87" s="6">
        <v>74.0</v>
      </c>
    </row>
    <row r="88">
      <c r="A88" s="6" t="s">
        <v>80</v>
      </c>
      <c r="B88" s="6" t="s">
        <v>45</v>
      </c>
      <c r="C88" s="6">
        <v>300.0</v>
      </c>
      <c r="D88" s="6">
        <v>917.0</v>
      </c>
      <c r="E88" s="6">
        <v>0.3</v>
      </c>
      <c r="F88" s="6">
        <v>91.0</v>
      </c>
      <c r="G88" s="10">
        <f t="shared" si="1"/>
        <v>3.296703297</v>
      </c>
      <c r="H88" s="6">
        <v>917.0</v>
      </c>
      <c r="I88" s="6">
        <v>0.0</v>
      </c>
      <c r="J88" s="6">
        <v>2.0</v>
      </c>
      <c r="K88" s="6">
        <v>12.0</v>
      </c>
      <c r="L88" s="6">
        <v>77.0</v>
      </c>
    </row>
    <row r="89">
      <c r="A89" s="6" t="s">
        <v>151</v>
      </c>
      <c r="B89" s="6" t="s">
        <v>45</v>
      </c>
      <c r="C89" s="6">
        <v>300.0</v>
      </c>
      <c r="D89" s="6">
        <v>904.0</v>
      </c>
      <c r="E89" s="6">
        <v>0.3</v>
      </c>
      <c r="F89" s="6">
        <v>94.0</v>
      </c>
      <c r="G89" s="10">
        <f t="shared" si="1"/>
        <v>3.191489362</v>
      </c>
      <c r="H89" s="6">
        <v>904.0</v>
      </c>
      <c r="I89" s="6">
        <v>0.0</v>
      </c>
      <c r="J89" s="6">
        <v>2.0</v>
      </c>
      <c r="K89" s="6">
        <v>22.0</v>
      </c>
      <c r="L89" s="6">
        <v>70.0</v>
      </c>
    </row>
    <row r="90">
      <c r="A90" s="6" t="s">
        <v>118</v>
      </c>
      <c r="B90" s="6" t="s">
        <v>45</v>
      </c>
      <c r="C90" s="6">
        <v>300.0</v>
      </c>
      <c r="D90" s="6">
        <v>919.0</v>
      </c>
      <c r="E90" s="6">
        <v>0.3</v>
      </c>
      <c r="F90" s="6">
        <v>90.0</v>
      </c>
      <c r="G90" s="10">
        <f t="shared" si="1"/>
        <v>3.333333333</v>
      </c>
      <c r="H90" s="6">
        <v>919.0</v>
      </c>
      <c r="I90" s="6">
        <v>0.0</v>
      </c>
      <c r="J90" s="6">
        <v>2.0</v>
      </c>
      <c r="K90" s="6">
        <v>13.0</v>
      </c>
      <c r="L90" s="6">
        <v>75.0</v>
      </c>
    </row>
    <row r="91">
      <c r="A91" s="6" t="s">
        <v>152</v>
      </c>
      <c r="B91" s="6" t="s">
        <v>45</v>
      </c>
      <c r="C91" s="6">
        <v>300.0</v>
      </c>
      <c r="D91" s="6">
        <v>878.0</v>
      </c>
      <c r="E91" s="6">
        <v>0.3</v>
      </c>
      <c r="F91" s="6">
        <v>91.0</v>
      </c>
      <c r="G91" s="10">
        <f t="shared" si="1"/>
        <v>3.296703297</v>
      </c>
      <c r="H91" s="6">
        <v>878.0</v>
      </c>
      <c r="I91" s="6">
        <v>0.0</v>
      </c>
      <c r="J91" s="6">
        <v>1.0</v>
      </c>
      <c r="K91" s="6">
        <v>15.0</v>
      </c>
      <c r="L91" s="6">
        <v>75.0</v>
      </c>
    </row>
    <row r="92">
      <c r="A92" s="6" t="s">
        <v>99</v>
      </c>
      <c r="B92" s="6" t="s">
        <v>45</v>
      </c>
      <c r="C92" s="6">
        <v>400.0</v>
      </c>
      <c r="D92" s="6">
        <v>1111.0</v>
      </c>
      <c r="E92" s="6">
        <v>0.6</v>
      </c>
      <c r="F92" s="6">
        <v>120.0</v>
      </c>
      <c r="G92" s="10">
        <f t="shared" si="1"/>
        <v>3.333333333</v>
      </c>
      <c r="H92" s="6">
        <v>1111.0</v>
      </c>
      <c r="I92" s="6">
        <v>0.0</v>
      </c>
      <c r="J92" s="6">
        <v>1.0</v>
      </c>
      <c r="K92" s="6">
        <v>17.0</v>
      </c>
      <c r="L92" s="6">
        <v>102.0</v>
      </c>
    </row>
    <row r="93">
      <c r="A93" s="6" t="s">
        <v>149</v>
      </c>
      <c r="B93" s="6" t="s">
        <v>45</v>
      </c>
      <c r="C93" s="6">
        <v>400.0</v>
      </c>
      <c r="D93" s="6">
        <v>1069.0</v>
      </c>
      <c r="E93" s="6">
        <v>0.6</v>
      </c>
      <c r="F93" s="6">
        <v>121.0</v>
      </c>
      <c r="G93" s="10">
        <f t="shared" si="1"/>
        <v>3.305785124</v>
      </c>
      <c r="H93" s="6">
        <v>1069.0</v>
      </c>
      <c r="I93" s="6">
        <v>0.0</v>
      </c>
      <c r="J93" s="6">
        <v>0.0</v>
      </c>
      <c r="K93" s="6">
        <v>16.0</v>
      </c>
      <c r="L93" s="6">
        <v>105.0</v>
      </c>
    </row>
    <row r="94">
      <c r="A94" s="6" t="s">
        <v>139</v>
      </c>
      <c r="B94" s="6" t="s">
        <v>45</v>
      </c>
      <c r="C94" s="6">
        <v>400.0</v>
      </c>
      <c r="D94" s="6">
        <v>1108.0</v>
      </c>
      <c r="E94" s="6">
        <v>0.6</v>
      </c>
      <c r="F94" s="6">
        <v>122.0</v>
      </c>
      <c r="G94" s="10">
        <f t="shared" si="1"/>
        <v>3.278688525</v>
      </c>
      <c r="H94" s="6">
        <v>1108.0</v>
      </c>
      <c r="I94" s="6">
        <v>0.0</v>
      </c>
      <c r="J94" s="6">
        <v>0.0</v>
      </c>
      <c r="K94" s="6">
        <v>15.0</v>
      </c>
      <c r="L94" s="6">
        <v>107.0</v>
      </c>
    </row>
    <row r="95">
      <c r="A95" s="6" t="s">
        <v>113</v>
      </c>
      <c r="B95" s="6" t="s">
        <v>45</v>
      </c>
      <c r="C95" s="6">
        <v>400.0</v>
      </c>
      <c r="D95" s="6">
        <v>1143.0</v>
      </c>
      <c r="E95" s="6">
        <v>0.6</v>
      </c>
      <c r="F95" s="6">
        <v>117.0</v>
      </c>
      <c r="G95" s="10">
        <f t="shared" si="1"/>
        <v>3.418803419</v>
      </c>
      <c r="H95" s="6">
        <v>1143.0</v>
      </c>
      <c r="I95" s="6">
        <v>0.0</v>
      </c>
      <c r="J95" s="6">
        <v>1.0</v>
      </c>
      <c r="K95" s="6">
        <v>8.0</v>
      </c>
      <c r="L95" s="6">
        <v>108.0</v>
      </c>
    </row>
    <row r="96">
      <c r="A96" s="6" t="s">
        <v>138</v>
      </c>
      <c r="B96" s="6" t="s">
        <v>45</v>
      </c>
      <c r="C96" s="6">
        <v>400.0</v>
      </c>
      <c r="D96" s="6">
        <v>1135.0</v>
      </c>
      <c r="E96" s="6">
        <v>0.6</v>
      </c>
      <c r="F96" s="6">
        <v>119.0</v>
      </c>
      <c r="G96" s="10">
        <f t="shared" si="1"/>
        <v>3.361344538</v>
      </c>
      <c r="H96" s="6">
        <v>1135.0</v>
      </c>
      <c r="I96" s="6">
        <v>0.0</v>
      </c>
      <c r="J96" s="6">
        <v>1.0</v>
      </c>
      <c r="K96" s="6">
        <v>16.0</v>
      </c>
      <c r="L96" s="6">
        <v>102.0</v>
      </c>
    </row>
    <row r="97">
      <c r="A97" s="6" t="s">
        <v>82</v>
      </c>
      <c r="B97" s="6" t="s">
        <v>45</v>
      </c>
      <c r="C97" s="6">
        <v>500.0</v>
      </c>
      <c r="D97" s="6">
        <v>1312.0</v>
      </c>
      <c r="E97" s="6">
        <v>1.0</v>
      </c>
      <c r="F97" s="6">
        <v>151.0</v>
      </c>
      <c r="G97" s="10">
        <f t="shared" si="1"/>
        <v>3.311258278</v>
      </c>
      <c r="H97" s="6">
        <v>1312.0</v>
      </c>
      <c r="I97" s="6">
        <v>0.0</v>
      </c>
      <c r="J97" s="6">
        <v>1.0</v>
      </c>
      <c r="K97" s="6">
        <v>12.0</v>
      </c>
      <c r="L97" s="6">
        <v>138.0</v>
      </c>
    </row>
    <row r="98">
      <c r="A98" s="6" t="s">
        <v>142</v>
      </c>
      <c r="B98" s="6" t="s">
        <v>45</v>
      </c>
      <c r="C98" s="6">
        <v>500.0</v>
      </c>
      <c r="D98" s="6">
        <v>1325.0</v>
      </c>
      <c r="E98" s="6">
        <v>1.0</v>
      </c>
      <c r="F98" s="6">
        <v>150.0</v>
      </c>
      <c r="G98" s="10">
        <f t="shared" si="1"/>
        <v>3.333333333</v>
      </c>
      <c r="H98" s="6">
        <v>1325.0</v>
      </c>
      <c r="I98" s="6">
        <v>0.0</v>
      </c>
      <c r="J98" s="6">
        <v>0.0</v>
      </c>
      <c r="K98" s="6">
        <v>20.0</v>
      </c>
      <c r="L98" s="6">
        <v>130.0</v>
      </c>
    </row>
    <row r="99">
      <c r="A99" s="6" t="s">
        <v>57</v>
      </c>
      <c r="B99" s="6" t="s">
        <v>45</v>
      </c>
      <c r="C99" s="6">
        <v>500.0</v>
      </c>
      <c r="D99" s="6">
        <v>1310.0</v>
      </c>
      <c r="E99" s="6">
        <v>1.0</v>
      </c>
      <c r="F99" s="6">
        <v>153.0</v>
      </c>
      <c r="G99" s="10">
        <f t="shared" si="1"/>
        <v>3.267973856</v>
      </c>
      <c r="H99" s="6">
        <v>1310.0</v>
      </c>
      <c r="I99" s="6">
        <v>0.0</v>
      </c>
      <c r="J99" s="6">
        <v>0.0</v>
      </c>
      <c r="K99" s="6">
        <v>16.0</v>
      </c>
      <c r="L99" s="6">
        <v>137.0</v>
      </c>
    </row>
    <row r="100">
      <c r="A100" s="6" t="s">
        <v>48</v>
      </c>
      <c r="B100" s="6" t="s">
        <v>45</v>
      </c>
      <c r="C100" s="6">
        <v>500.0</v>
      </c>
      <c r="D100" s="6">
        <v>1325.0</v>
      </c>
      <c r="E100" s="6">
        <v>1.0</v>
      </c>
      <c r="F100" s="6">
        <v>150.0</v>
      </c>
      <c r="G100" s="10">
        <f t="shared" si="1"/>
        <v>3.333333333</v>
      </c>
      <c r="H100" s="6">
        <v>1325.0</v>
      </c>
      <c r="I100" s="6">
        <v>0.0</v>
      </c>
      <c r="J100" s="6">
        <v>0.0</v>
      </c>
      <c r="K100" s="6">
        <v>16.0</v>
      </c>
      <c r="L100" s="6">
        <v>134.0</v>
      </c>
    </row>
    <row r="101">
      <c r="A101" s="6" t="s">
        <v>78</v>
      </c>
      <c r="B101" s="6" t="s">
        <v>45</v>
      </c>
      <c r="C101" s="6">
        <v>500.0</v>
      </c>
      <c r="D101" s="6">
        <v>1309.0</v>
      </c>
      <c r="E101" s="6">
        <v>1.0</v>
      </c>
      <c r="F101" s="6">
        <v>155.0</v>
      </c>
      <c r="G101" s="10">
        <f t="shared" si="1"/>
        <v>3.225806452</v>
      </c>
      <c r="H101" s="6">
        <v>1309.0</v>
      </c>
      <c r="I101" s="6">
        <v>0.0</v>
      </c>
      <c r="J101" s="6">
        <v>0.0</v>
      </c>
      <c r="K101" s="6">
        <v>20.0</v>
      </c>
      <c r="L101" s="6">
        <v>135.0</v>
      </c>
    </row>
    <row r="102">
      <c r="A102" s="6" t="s">
        <v>90</v>
      </c>
      <c r="B102" s="6" t="s">
        <v>45</v>
      </c>
      <c r="C102" s="6">
        <v>750.0</v>
      </c>
      <c r="D102" s="6">
        <v>1825.0</v>
      </c>
      <c r="E102" s="6">
        <v>2.2</v>
      </c>
      <c r="F102" s="6">
        <v>226.0</v>
      </c>
      <c r="G102" s="10">
        <f t="shared" si="1"/>
        <v>3.318584071</v>
      </c>
      <c r="H102" s="6">
        <v>1825.0</v>
      </c>
      <c r="I102" s="6">
        <v>0.0</v>
      </c>
      <c r="J102" s="6">
        <v>0.0</v>
      </c>
      <c r="K102" s="6">
        <v>13.0</v>
      </c>
      <c r="L102" s="6">
        <v>213.0</v>
      </c>
    </row>
    <row r="103">
      <c r="A103" s="6" t="s">
        <v>127</v>
      </c>
      <c r="B103" s="6" t="s">
        <v>45</v>
      </c>
      <c r="C103" s="6">
        <v>750.0</v>
      </c>
      <c r="D103" s="6">
        <v>1810.0</v>
      </c>
      <c r="E103" s="6">
        <v>2.2</v>
      </c>
      <c r="F103" s="6">
        <v>229.0</v>
      </c>
      <c r="G103" s="10">
        <f t="shared" si="1"/>
        <v>3.27510917</v>
      </c>
      <c r="H103" s="6">
        <v>1810.0</v>
      </c>
      <c r="I103" s="6">
        <v>0.0</v>
      </c>
      <c r="J103" s="6">
        <v>1.0</v>
      </c>
      <c r="K103" s="6">
        <v>25.0</v>
      </c>
      <c r="L103" s="6">
        <v>203.0</v>
      </c>
    </row>
    <row r="104">
      <c r="A104" s="6" t="s">
        <v>81</v>
      </c>
      <c r="B104" s="6" t="s">
        <v>45</v>
      </c>
      <c r="C104" s="6">
        <v>750.0</v>
      </c>
      <c r="D104" s="6">
        <v>1841.0</v>
      </c>
      <c r="E104" s="6">
        <v>2.2</v>
      </c>
      <c r="F104" s="6">
        <v>223.0</v>
      </c>
      <c r="G104" s="10">
        <f t="shared" si="1"/>
        <v>3.3632287</v>
      </c>
      <c r="H104" s="6">
        <v>1841.0</v>
      </c>
      <c r="I104" s="6">
        <v>0.0</v>
      </c>
      <c r="J104" s="6">
        <v>0.0</v>
      </c>
      <c r="K104" s="6">
        <v>16.0</v>
      </c>
      <c r="L104" s="6">
        <v>207.0</v>
      </c>
    </row>
    <row r="105">
      <c r="A105" s="6" t="s">
        <v>154</v>
      </c>
      <c r="B105" s="6" t="s">
        <v>45</v>
      </c>
      <c r="C105" s="6">
        <v>750.0</v>
      </c>
      <c r="D105" s="6">
        <v>1891.0</v>
      </c>
      <c r="E105" s="6">
        <v>2.2</v>
      </c>
      <c r="F105" s="6">
        <v>223.0</v>
      </c>
      <c r="G105" s="10">
        <f t="shared" si="1"/>
        <v>3.3632287</v>
      </c>
      <c r="H105" s="6">
        <v>1891.0</v>
      </c>
      <c r="I105" s="6">
        <v>0.0</v>
      </c>
      <c r="J105" s="6">
        <v>0.0</v>
      </c>
      <c r="K105" s="6">
        <v>13.0</v>
      </c>
      <c r="L105" s="6">
        <v>210.0</v>
      </c>
    </row>
    <row r="106">
      <c r="A106" s="6" t="s">
        <v>129</v>
      </c>
      <c r="B106" s="6" t="s">
        <v>45</v>
      </c>
      <c r="C106" s="6">
        <v>750.0</v>
      </c>
      <c r="D106" s="6">
        <v>1863.0</v>
      </c>
      <c r="E106" s="6">
        <v>2.3</v>
      </c>
      <c r="F106" s="6">
        <v>225.0</v>
      </c>
      <c r="G106" s="10">
        <f t="shared" si="1"/>
        <v>3.333333333</v>
      </c>
      <c r="H106" s="6">
        <v>1863.0</v>
      </c>
      <c r="I106" s="6">
        <v>0.0</v>
      </c>
      <c r="J106" s="6">
        <v>0.0</v>
      </c>
      <c r="K106" s="6">
        <v>16.0</v>
      </c>
      <c r="L106" s="6">
        <v>209.0</v>
      </c>
    </row>
    <row r="107">
      <c r="A107" s="6" t="s">
        <v>83</v>
      </c>
      <c r="B107" s="6" t="s">
        <v>45</v>
      </c>
      <c r="C107" s="6">
        <v>1000.0</v>
      </c>
      <c r="D107" s="6">
        <v>2322.0</v>
      </c>
      <c r="E107" s="6">
        <v>4.1</v>
      </c>
      <c r="F107" s="6">
        <v>304.0</v>
      </c>
      <c r="G107" s="10">
        <f t="shared" si="1"/>
        <v>3.289473684</v>
      </c>
      <c r="H107" s="6">
        <v>2322.0</v>
      </c>
      <c r="I107" s="6">
        <v>0.0</v>
      </c>
      <c r="J107" s="6">
        <v>0.0</v>
      </c>
      <c r="K107" s="6">
        <v>24.0</v>
      </c>
      <c r="L107" s="6">
        <v>280.0</v>
      </c>
    </row>
    <row r="108">
      <c r="A108" s="6" t="s">
        <v>144</v>
      </c>
      <c r="B108" s="6" t="s">
        <v>45</v>
      </c>
      <c r="C108" s="6">
        <v>1000.0</v>
      </c>
      <c r="D108" s="6">
        <v>2343.0</v>
      </c>
      <c r="E108" s="6">
        <v>4.1</v>
      </c>
      <c r="F108" s="6">
        <v>302.0</v>
      </c>
      <c r="G108" s="10">
        <f t="shared" si="1"/>
        <v>3.311258278</v>
      </c>
      <c r="H108" s="6">
        <v>2343.0</v>
      </c>
      <c r="I108" s="6">
        <v>0.0</v>
      </c>
      <c r="J108" s="6">
        <v>1.0</v>
      </c>
      <c r="K108" s="6">
        <v>13.0</v>
      </c>
      <c r="L108" s="6">
        <v>288.0</v>
      </c>
    </row>
    <row r="109">
      <c r="A109" s="6" t="s">
        <v>63</v>
      </c>
      <c r="B109" s="6" t="s">
        <v>45</v>
      </c>
      <c r="C109" s="6">
        <v>1000.0</v>
      </c>
      <c r="D109" s="6">
        <v>2356.0</v>
      </c>
      <c r="E109" s="6">
        <v>3.9</v>
      </c>
      <c r="F109" s="6">
        <v>305.0</v>
      </c>
      <c r="G109" s="10">
        <f t="shared" si="1"/>
        <v>3.278688525</v>
      </c>
      <c r="H109" s="6">
        <v>2356.0</v>
      </c>
      <c r="I109" s="6">
        <v>0.0</v>
      </c>
      <c r="J109" s="6">
        <v>1.0</v>
      </c>
      <c r="K109" s="6">
        <v>26.0</v>
      </c>
      <c r="L109" s="6">
        <v>278.0</v>
      </c>
    </row>
    <row r="110">
      <c r="A110" s="6" t="s">
        <v>79</v>
      </c>
      <c r="B110" s="6" t="s">
        <v>45</v>
      </c>
      <c r="C110" s="6">
        <v>1000.0</v>
      </c>
      <c r="D110" s="6">
        <v>2305.0</v>
      </c>
      <c r="E110" s="6">
        <v>4.2</v>
      </c>
      <c r="F110" s="6">
        <v>305.0</v>
      </c>
      <c r="G110" s="10">
        <f t="shared" si="1"/>
        <v>3.278688525</v>
      </c>
      <c r="H110" s="6">
        <v>2305.0</v>
      </c>
      <c r="I110" s="6">
        <v>0.0</v>
      </c>
      <c r="J110" s="6">
        <v>0.0</v>
      </c>
      <c r="K110" s="6">
        <v>23.0</v>
      </c>
      <c r="L110" s="6">
        <v>282.0</v>
      </c>
    </row>
    <row r="111">
      <c r="A111" s="6" t="s">
        <v>64</v>
      </c>
      <c r="B111" s="6" t="s">
        <v>45</v>
      </c>
      <c r="C111" s="6">
        <v>1000.0</v>
      </c>
      <c r="D111" s="6">
        <v>2319.0</v>
      </c>
      <c r="E111" s="6">
        <v>4.0</v>
      </c>
      <c r="F111" s="6">
        <v>300.0</v>
      </c>
      <c r="G111" s="10">
        <f t="shared" si="1"/>
        <v>3.333333333</v>
      </c>
      <c r="H111" s="6">
        <v>2319.0</v>
      </c>
      <c r="I111" s="6">
        <v>0.0</v>
      </c>
      <c r="J111" s="6">
        <v>0.0</v>
      </c>
      <c r="K111" s="6">
        <v>24.0</v>
      </c>
      <c r="L111" s="6">
        <v>276.0</v>
      </c>
    </row>
  </sheetData>
  <autoFilter ref="$A$1:$L$11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63"/>
    <col customWidth="1" min="3" max="3" width="18.25"/>
    <col customWidth="1" min="4" max="5" width="12.63"/>
    <col customWidth="1" min="6" max="6" width="19.75"/>
    <col customWidth="1" min="7" max="7" width="15.63"/>
    <col customWidth="1" min="8" max="8" width="16.88"/>
    <col customWidth="1" min="9" max="9" width="20.25"/>
    <col customWidth="1" min="10" max="12" width="12.63"/>
  </cols>
  <sheetData>
    <row r="1">
      <c r="A1" s="7" t="s">
        <v>38</v>
      </c>
      <c r="B1" s="7" t="s">
        <v>39</v>
      </c>
      <c r="C1" s="7" t="s">
        <v>40</v>
      </c>
      <c r="D1" s="7" t="s">
        <v>155</v>
      </c>
      <c r="E1" s="7" t="s">
        <v>156</v>
      </c>
      <c r="F1" s="7" t="s">
        <v>157</v>
      </c>
      <c r="G1" s="7" t="s">
        <v>158</v>
      </c>
      <c r="H1" s="7" t="s">
        <v>159</v>
      </c>
      <c r="I1" s="7" t="s">
        <v>160</v>
      </c>
      <c r="J1" s="7" t="s">
        <v>161</v>
      </c>
      <c r="K1" s="7" t="s">
        <v>162</v>
      </c>
      <c r="L1" s="7" t="s">
        <v>163</v>
      </c>
    </row>
    <row r="2">
      <c r="A2" s="6" t="s">
        <v>93</v>
      </c>
      <c r="B2" s="6" t="s">
        <v>53</v>
      </c>
      <c r="C2" s="6">
        <v>10.0</v>
      </c>
      <c r="D2" s="6">
        <v>185.0</v>
      </c>
      <c r="E2" s="6">
        <v>0.0</v>
      </c>
      <c r="F2" s="6">
        <v>3.0</v>
      </c>
      <c r="G2" s="10">
        <v>3.33</v>
      </c>
      <c r="H2" s="6">
        <v>70.0</v>
      </c>
      <c r="I2" s="6">
        <v>0.0</v>
      </c>
      <c r="J2" s="6">
        <v>1.0</v>
      </c>
      <c r="K2" s="6">
        <v>1.0</v>
      </c>
      <c r="L2" s="6">
        <v>1.0</v>
      </c>
    </row>
    <row r="3">
      <c r="A3" s="6" t="s">
        <v>36</v>
      </c>
      <c r="B3" s="6" t="s">
        <v>53</v>
      </c>
      <c r="C3" s="6">
        <v>10.0</v>
      </c>
      <c r="D3" s="6">
        <v>159.0</v>
      </c>
      <c r="E3" s="6">
        <v>0.0</v>
      </c>
      <c r="F3" s="6">
        <v>3.0</v>
      </c>
      <c r="G3" s="10">
        <v>3.33</v>
      </c>
      <c r="H3" s="6">
        <v>119.0</v>
      </c>
      <c r="I3" s="6">
        <v>0.0</v>
      </c>
      <c r="J3" s="6">
        <v>2.0</v>
      </c>
      <c r="K3" s="6">
        <v>1.0</v>
      </c>
      <c r="L3" s="6">
        <v>0.0</v>
      </c>
    </row>
    <row r="4">
      <c r="A4" s="6" t="s">
        <v>55</v>
      </c>
      <c r="B4" s="6" t="s">
        <v>53</v>
      </c>
      <c r="C4" s="6">
        <v>15.0</v>
      </c>
      <c r="D4" s="6">
        <v>378.0</v>
      </c>
      <c r="E4" s="6">
        <v>0.0</v>
      </c>
      <c r="F4" s="6">
        <v>5.0</v>
      </c>
      <c r="G4" s="10">
        <v>3.0</v>
      </c>
      <c r="H4" s="6">
        <v>158.0</v>
      </c>
      <c r="I4" s="6">
        <v>0.0</v>
      </c>
      <c r="J4" s="6">
        <v>3.0</v>
      </c>
      <c r="K4" s="6">
        <v>2.0</v>
      </c>
      <c r="L4" s="6">
        <v>0.0</v>
      </c>
    </row>
    <row r="5">
      <c r="A5" s="6" t="s">
        <v>141</v>
      </c>
      <c r="B5" s="6" t="s">
        <v>53</v>
      </c>
      <c r="C5" s="6">
        <v>15.0</v>
      </c>
      <c r="D5" s="6">
        <v>247.0</v>
      </c>
      <c r="E5" s="6">
        <v>0.0</v>
      </c>
      <c r="F5" s="6">
        <v>4.0</v>
      </c>
      <c r="G5" s="10">
        <v>3.75</v>
      </c>
      <c r="H5" s="6">
        <v>107.0</v>
      </c>
      <c r="I5" s="6">
        <v>0.0</v>
      </c>
      <c r="J5" s="6">
        <v>2.0</v>
      </c>
      <c r="K5" s="6">
        <v>1.0</v>
      </c>
      <c r="L5" s="6">
        <v>1.0</v>
      </c>
    </row>
    <row r="6">
      <c r="A6" s="6" t="s">
        <v>109</v>
      </c>
      <c r="B6" s="6" t="s">
        <v>53</v>
      </c>
      <c r="C6" s="6">
        <v>20.0</v>
      </c>
      <c r="D6" s="6">
        <v>419.0</v>
      </c>
      <c r="E6" s="6">
        <v>0.0</v>
      </c>
      <c r="F6" s="6">
        <v>6.0</v>
      </c>
      <c r="G6" s="10">
        <v>3.33</v>
      </c>
      <c r="H6" s="6">
        <v>179.0</v>
      </c>
      <c r="I6" s="6">
        <v>0.0</v>
      </c>
      <c r="J6" s="6">
        <v>2.0</v>
      </c>
      <c r="K6" s="6">
        <v>2.0</v>
      </c>
      <c r="L6" s="6">
        <v>2.0</v>
      </c>
    </row>
    <row r="7">
      <c r="A7" s="6" t="s">
        <v>85</v>
      </c>
      <c r="B7" s="6" t="s">
        <v>53</v>
      </c>
      <c r="C7" s="6">
        <v>20.0</v>
      </c>
      <c r="D7" s="6">
        <v>363.0</v>
      </c>
      <c r="E7" s="6">
        <v>0.0</v>
      </c>
      <c r="F7" s="6">
        <v>7.0</v>
      </c>
      <c r="G7" s="10">
        <v>2.86</v>
      </c>
      <c r="H7" s="6">
        <v>168.0</v>
      </c>
      <c r="I7" s="6">
        <v>0.0</v>
      </c>
      <c r="J7" s="6">
        <v>4.0</v>
      </c>
      <c r="K7" s="6">
        <v>3.0</v>
      </c>
      <c r="L7" s="6">
        <v>0.0</v>
      </c>
    </row>
    <row r="8">
      <c r="A8" s="6" t="s">
        <v>105</v>
      </c>
      <c r="B8" s="6" t="s">
        <v>53</v>
      </c>
      <c r="C8" s="6">
        <v>25.0</v>
      </c>
      <c r="D8" s="6">
        <v>467.0</v>
      </c>
      <c r="E8" s="6">
        <v>0.0</v>
      </c>
      <c r="F8" s="6">
        <v>10.0</v>
      </c>
      <c r="G8" s="10">
        <v>2.5</v>
      </c>
      <c r="H8" s="6">
        <v>217.0</v>
      </c>
      <c r="I8" s="6">
        <v>0.0</v>
      </c>
      <c r="J8" s="6">
        <v>7.0</v>
      </c>
      <c r="K8" s="6">
        <v>2.0</v>
      </c>
      <c r="L8" s="6">
        <v>1.0</v>
      </c>
    </row>
    <row r="9">
      <c r="A9" s="6" t="s">
        <v>126</v>
      </c>
      <c r="B9" s="6" t="s">
        <v>53</v>
      </c>
      <c r="C9" s="6">
        <v>30.0</v>
      </c>
      <c r="D9" s="6">
        <v>513.0</v>
      </c>
      <c r="E9" s="6">
        <v>0.0</v>
      </c>
      <c r="F9" s="6">
        <v>10.0</v>
      </c>
      <c r="G9" s="10">
        <v>3.0</v>
      </c>
      <c r="H9" s="6">
        <v>283.0</v>
      </c>
      <c r="I9" s="6">
        <v>0.0</v>
      </c>
      <c r="J9" s="6">
        <v>6.0</v>
      </c>
      <c r="K9" s="6">
        <v>3.0</v>
      </c>
      <c r="L9" s="6">
        <v>1.0</v>
      </c>
    </row>
    <row r="10">
      <c r="A10" s="6" t="s">
        <v>65</v>
      </c>
      <c r="B10" s="6" t="s">
        <v>53</v>
      </c>
      <c r="C10" s="6">
        <v>30.0</v>
      </c>
      <c r="D10" s="6">
        <v>757.0</v>
      </c>
      <c r="E10" s="6">
        <v>0.0</v>
      </c>
      <c r="F10" s="6">
        <v>10.0</v>
      </c>
      <c r="G10" s="10">
        <v>3.0</v>
      </c>
      <c r="H10" s="6">
        <v>232.0</v>
      </c>
      <c r="I10" s="6">
        <v>0.0</v>
      </c>
      <c r="J10" s="6">
        <v>5.0</v>
      </c>
      <c r="K10" s="6">
        <v>3.0</v>
      </c>
      <c r="L10" s="6">
        <v>2.0</v>
      </c>
    </row>
    <row r="11">
      <c r="A11" s="6" t="s">
        <v>114</v>
      </c>
      <c r="B11" s="6" t="s">
        <v>53</v>
      </c>
      <c r="C11" s="6">
        <v>40.0</v>
      </c>
      <c r="D11" s="6">
        <v>881.0</v>
      </c>
      <c r="E11" s="6">
        <v>0.0</v>
      </c>
      <c r="F11" s="6">
        <v>13.0</v>
      </c>
      <c r="G11" s="10">
        <v>3.08</v>
      </c>
      <c r="H11" s="6">
        <v>256.0</v>
      </c>
      <c r="I11" s="6">
        <v>0.0</v>
      </c>
      <c r="J11" s="6">
        <v>6.0</v>
      </c>
      <c r="K11" s="6">
        <v>4.0</v>
      </c>
      <c r="L11" s="6">
        <v>3.0</v>
      </c>
    </row>
    <row r="12">
      <c r="A12" s="6" t="s">
        <v>69</v>
      </c>
      <c r="B12" s="6" t="s">
        <v>53</v>
      </c>
      <c r="C12" s="6">
        <v>50.0</v>
      </c>
      <c r="D12" s="6">
        <v>1076.0</v>
      </c>
      <c r="E12" s="6">
        <v>0.0</v>
      </c>
      <c r="F12" s="6">
        <v>16.0</v>
      </c>
      <c r="G12" s="10">
        <v>3.13</v>
      </c>
      <c r="H12" s="6">
        <v>456.0</v>
      </c>
      <c r="I12" s="6">
        <v>0.0</v>
      </c>
      <c r="J12" s="6">
        <v>8.0</v>
      </c>
      <c r="K12" s="6">
        <v>6.0</v>
      </c>
      <c r="L12" s="6">
        <v>2.0</v>
      </c>
    </row>
    <row r="13">
      <c r="A13" s="6" t="s">
        <v>150</v>
      </c>
      <c r="B13" s="6" t="s">
        <v>53</v>
      </c>
      <c r="C13" s="6">
        <v>50.0</v>
      </c>
      <c r="D13" s="6">
        <v>1297.0</v>
      </c>
      <c r="E13" s="6">
        <v>0.0</v>
      </c>
      <c r="F13" s="6">
        <v>14.0</v>
      </c>
      <c r="G13" s="10">
        <v>3.57</v>
      </c>
      <c r="H13" s="6">
        <v>447.0</v>
      </c>
      <c r="I13" s="6">
        <v>0.0</v>
      </c>
      <c r="J13" s="6">
        <v>6.0</v>
      </c>
      <c r="K13" s="6">
        <v>4.0</v>
      </c>
      <c r="L13" s="6">
        <v>4.0</v>
      </c>
    </row>
    <row r="14">
      <c r="A14" s="6" t="s">
        <v>123</v>
      </c>
      <c r="B14" s="6" t="s">
        <v>53</v>
      </c>
      <c r="C14" s="6">
        <v>75.0</v>
      </c>
      <c r="D14" s="6">
        <v>1289.0</v>
      </c>
      <c r="E14" s="6">
        <v>0.1</v>
      </c>
      <c r="F14" s="6">
        <v>24.0</v>
      </c>
      <c r="G14" s="10">
        <v>3.13</v>
      </c>
      <c r="H14" s="6">
        <v>584.0</v>
      </c>
      <c r="I14" s="6">
        <v>0.0</v>
      </c>
      <c r="J14" s="6">
        <v>11.0</v>
      </c>
      <c r="K14" s="6">
        <v>7.0</v>
      </c>
      <c r="L14" s="6">
        <v>6.0</v>
      </c>
    </row>
    <row r="15">
      <c r="A15" s="6" t="s">
        <v>61</v>
      </c>
      <c r="B15" s="6" t="s">
        <v>53</v>
      </c>
      <c r="C15" s="6">
        <v>100.0</v>
      </c>
      <c r="D15" s="6">
        <v>1183.0</v>
      </c>
      <c r="E15" s="6">
        <v>0.1</v>
      </c>
      <c r="F15" s="6">
        <v>32.0</v>
      </c>
      <c r="G15" s="10">
        <v>3.13</v>
      </c>
      <c r="H15" s="6">
        <v>818.0</v>
      </c>
      <c r="I15" s="6">
        <v>0.0</v>
      </c>
      <c r="J15" s="6">
        <v>21.0</v>
      </c>
      <c r="K15" s="6">
        <v>5.0</v>
      </c>
      <c r="L15" s="6">
        <v>6.0</v>
      </c>
    </row>
    <row r="16">
      <c r="A16" s="6" t="s">
        <v>100</v>
      </c>
      <c r="B16" s="6" t="s">
        <v>53</v>
      </c>
      <c r="C16" s="6">
        <v>100.0</v>
      </c>
      <c r="D16" s="6">
        <v>1466.0</v>
      </c>
      <c r="E16" s="6">
        <v>0.1</v>
      </c>
      <c r="F16" s="6">
        <v>32.0</v>
      </c>
      <c r="G16" s="10">
        <v>3.13</v>
      </c>
      <c r="H16" s="6">
        <v>671.0</v>
      </c>
      <c r="I16" s="6">
        <v>0.0</v>
      </c>
      <c r="J16" s="6">
        <v>16.0</v>
      </c>
      <c r="K16" s="6">
        <v>8.0</v>
      </c>
      <c r="L16" s="6">
        <v>8.0</v>
      </c>
    </row>
    <row r="17">
      <c r="A17" s="6" t="s">
        <v>94</v>
      </c>
      <c r="B17" s="6" t="s">
        <v>53</v>
      </c>
      <c r="C17" s="6">
        <v>150.0</v>
      </c>
      <c r="D17" s="6">
        <v>1661.0</v>
      </c>
      <c r="E17" s="6">
        <v>0.3</v>
      </c>
      <c r="F17" s="6">
        <v>47.0</v>
      </c>
      <c r="G17" s="10">
        <v>3.19</v>
      </c>
      <c r="H17" s="6">
        <v>1171.0</v>
      </c>
      <c r="I17" s="6">
        <v>1.0</v>
      </c>
      <c r="J17" s="6">
        <v>21.0</v>
      </c>
      <c r="K17" s="6">
        <v>15.0</v>
      </c>
      <c r="L17" s="6">
        <v>11.0</v>
      </c>
    </row>
    <row r="18">
      <c r="A18" s="6" t="s">
        <v>132</v>
      </c>
      <c r="B18" s="6" t="s">
        <v>53</v>
      </c>
      <c r="C18" s="6">
        <v>208.0</v>
      </c>
      <c r="D18" s="6">
        <v>2130.0</v>
      </c>
      <c r="E18" s="6">
        <v>0.6</v>
      </c>
      <c r="F18" s="6">
        <v>63.0</v>
      </c>
      <c r="G18" s="10">
        <v>3.3</v>
      </c>
      <c r="H18" s="6">
        <v>1690.0</v>
      </c>
      <c r="I18" s="6">
        <v>1.0</v>
      </c>
      <c r="J18" s="6">
        <v>38.0</v>
      </c>
      <c r="K18" s="6">
        <v>11.0</v>
      </c>
      <c r="L18" s="6">
        <v>14.0</v>
      </c>
    </row>
    <row r="19">
      <c r="A19" s="6" t="s">
        <v>110</v>
      </c>
      <c r="B19" s="6" t="s">
        <v>53</v>
      </c>
      <c r="C19" s="6">
        <v>208.0</v>
      </c>
      <c r="D19" s="6">
        <v>2381.0</v>
      </c>
      <c r="E19" s="6">
        <v>0.5</v>
      </c>
      <c r="F19" s="6">
        <v>62.0</v>
      </c>
      <c r="G19" s="10">
        <v>3.35</v>
      </c>
      <c r="H19" s="6">
        <v>1326.0</v>
      </c>
      <c r="I19" s="6">
        <v>0.0</v>
      </c>
      <c r="J19" s="6">
        <v>23.0</v>
      </c>
      <c r="K19" s="6">
        <v>18.0</v>
      </c>
      <c r="L19" s="6">
        <v>21.0</v>
      </c>
    </row>
    <row r="20">
      <c r="A20" s="6" t="s">
        <v>52</v>
      </c>
      <c r="B20" s="6" t="s">
        <v>53</v>
      </c>
      <c r="C20" s="6">
        <v>300.0</v>
      </c>
      <c r="D20" s="6">
        <v>2810.0</v>
      </c>
      <c r="E20" s="6">
        <v>1.1</v>
      </c>
      <c r="F20" s="6">
        <v>100.0</v>
      </c>
      <c r="G20" s="10">
        <v>3.0</v>
      </c>
      <c r="H20" s="6">
        <v>2005.0</v>
      </c>
      <c r="I20" s="6">
        <v>0.0</v>
      </c>
      <c r="J20" s="6">
        <v>52.0</v>
      </c>
      <c r="K20" s="6">
        <v>17.0</v>
      </c>
      <c r="L20" s="6">
        <v>31.0</v>
      </c>
    </row>
    <row r="21">
      <c r="A21" s="11" t="s">
        <v>86</v>
      </c>
      <c r="B21" s="11" t="s">
        <v>53</v>
      </c>
      <c r="C21" s="11">
        <v>500.0</v>
      </c>
      <c r="D21" s="11">
        <v>3892.0</v>
      </c>
      <c r="E21" s="11">
        <v>4.2</v>
      </c>
      <c r="F21" s="11">
        <v>167.0</v>
      </c>
      <c r="G21" s="12">
        <v>2.99</v>
      </c>
      <c r="H21" s="11">
        <v>3132.0</v>
      </c>
      <c r="I21" s="11">
        <v>0.0</v>
      </c>
      <c r="J21" s="11">
        <v>87.0</v>
      </c>
      <c r="K21" s="11">
        <v>28.0</v>
      </c>
      <c r="L21" s="11">
        <v>52.0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6" t="s">
        <v>125</v>
      </c>
      <c r="B22" s="6" t="s">
        <v>45</v>
      </c>
      <c r="C22" s="6">
        <v>10.0</v>
      </c>
      <c r="D22" s="6">
        <v>13.0</v>
      </c>
      <c r="E22" s="6">
        <v>0.0</v>
      </c>
      <c r="F22" s="6">
        <v>4.0</v>
      </c>
      <c r="G22" s="10">
        <v>2.5</v>
      </c>
      <c r="H22" s="6">
        <v>13.0</v>
      </c>
      <c r="I22" s="6">
        <v>0.0</v>
      </c>
      <c r="J22" s="6">
        <v>0.0</v>
      </c>
      <c r="K22" s="6">
        <v>0.0</v>
      </c>
      <c r="L22" s="6">
        <v>4.0</v>
      </c>
    </row>
    <row r="23">
      <c r="A23" s="6" t="s">
        <v>111</v>
      </c>
      <c r="B23" s="6" t="s">
        <v>45</v>
      </c>
      <c r="C23" s="6">
        <v>10.0</v>
      </c>
      <c r="D23" s="6">
        <v>12.0</v>
      </c>
      <c r="E23" s="6">
        <v>0.0</v>
      </c>
      <c r="F23" s="6">
        <v>4.0</v>
      </c>
      <c r="G23" s="10">
        <v>2.5</v>
      </c>
      <c r="H23" s="6">
        <v>12.0</v>
      </c>
      <c r="I23" s="6">
        <v>0.0</v>
      </c>
      <c r="J23" s="6">
        <v>0.0</v>
      </c>
      <c r="K23" s="6">
        <v>1.0</v>
      </c>
      <c r="L23" s="6">
        <v>3.0</v>
      </c>
    </row>
    <row r="24">
      <c r="A24" s="6" t="s">
        <v>133</v>
      </c>
      <c r="B24" s="6" t="s">
        <v>45</v>
      </c>
      <c r="C24" s="6">
        <v>10.0</v>
      </c>
      <c r="D24" s="6">
        <v>13.0</v>
      </c>
      <c r="E24" s="6">
        <v>0.0</v>
      </c>
      <c r="F24" s="6">
        <v>4.0</v>
      </c>
      <c r="G24" s="10">
        <v>2.5</v>
      </c>
      <c r="H24" s="6">
        <v>13.0</v>
      </c>
      <c r="I24" s="6">
        <v>0.0</v>
      </c>
      <c r="J24" s="6">
        <v>0.0</v>
      </c>
      <c r="K24" s="6">
        <v>0.0</v>
      </c>
      <c r="L24" s="6">
        <v>4.0</v>
      </c>
    </row>
    <row r="25">
      <c r="A25" s="6" t="s">
        <v>124</v>
      </c>
      <c r="B25" s="6" t="s">
        <v>45</v>
      </c>
      <c r="C25" s="6">
        <v>10.0</v>
      </c>
      <c r="D25" s="6">
        <v>13.0</v>
      </c>
      <c r="E25" s="6">
        <v>0.0</v>
      </c>
      <c r="F25" s="6">
        <v>4.0</v>
      </c>
      <c r="G25" s="10">
        <v>2.5</v>
      </c>
      <c r="H25" s="6">
        <v>13.0</v>
      </c>
      <c r="I25" s="6">
        <v>0.0</v>
      </c>
      <c r="J25" s="6">
        <v>0.0</v>
      </c>
      <c r="K25" s="6">
        <v>1.0</v>
      </c>
      <c r="L25" s="6">
        <v>3.0</v>
      </c>
    </row>
    <row r="26">
      <c r="A26" s="6" t="s">
        <v>49</v>
      </c>
      <c r="B26" s="6" t="s">
        <v>45</v>
      </c>
      <c r="C26" s="6">
        <v>10.0</v>
      </c>
      <c r="D26" s="6">
        <v>20.0</v>
      </c>
      <c r="E26" s="6">
        <v>0.0</v>
      </c>
      <c r="F26" s="6">
        <v>4.0</v>
      </c>
      <c r="G26" s="10">
        <v>2.5</v>
      </c>
      <c r="H26" s="6">
        <v>20.0</v>
      </c>
      <c r="I26" s="6">
        <v>0.0</v>
      </c>
      <c r="J26" s="6">
        <v>0.0</v>
      </c>
      <c r="K26" s="6">
        <v>0.0</v>
      </c>
      <c r="L26" s="6">
        <v>4.0</v>
      </c>
    </row>
    <row r="27">
      <c r="A27" s="6" t="s">
        <v>130</v>
      </c>
      <c r="B27" s="6" t="s">
        <v>45</v>
      </c>
      <c r="C27" s="6">
        <v>15.0</v>
      </c>
      <c r="D27" s="6">
        <v>20.0</v>
      </c>
      <c r="E27" s="6">
        <v>0.0</v>
      </c>
      <c r="F27" s="6">
        <v>5.0</v>
      </c>
      <c r="G27" s="10">
        <v>3.0</v>
      </c>
      <c r="H27" s="6">
        <v>20.0</v>
      </c>
      <c r="I27" s="6">
        <v>0.0</v>
      </c>
      <c r="J27" s="6">
        <v>0.0</v>
      </c>
      <c r="K27" s="6">
        <v>1.0</v>
      </c>
      <c r="L27" s="6">
        <v>4.0</v>
      </c>
    </row>
    <row r="28">
      <c r="A28" s="6" t="s">
        <v>140</v>
      </c>
      <c r="B28" s="6" t="s">
        <v>45</v>
      </c>
      <c r="C28" s="6">
        <v>15.0</v>
      </c>
      <c r="D28" s="6">
        <v>18.0</v>
      </c>
      <c r="E28" s="6">
        <v>0.0</v>
      </c>
      <c r="F28" s="6">
        <v>5.0</v>
      </c>
      <c r="G28" s="10">
        <v>3.0</v>
      </c>
      <c r="H28" s="6">
        <v>18.0</v>
      </c>
      <c r="I28" s="6">
        <v>0.0</v>
      </c>
      <c r="J28" s="6">
        <v>0.0</v>
      </c>
      <c r="K28" s="6">
        <v>0.0</v>
      </c>
      <c r="L28" s="6">
        <v>5.0</v>
      </c>
    </row>
    <row r="29">
      <c r="A29" s="6" t="s">
        <v>60</v>
      </c>
      <c r="B29" s="6" t="s">
        <v>45</v>
      </c>
      <c r="C29" s="6">
        <v>15.0</v>
      </c>
      <c r="D29" s="6">
        <v>19.0</v>
      </c>
      <c r="E29" s="6">
        <v>0.0</v>
      </c>
      <c r="F29" s="6">
        <v>5.0</v>
      </c>
      <c r="G29" s="10">
        <v>3.0</v>
      </c>
      <c r="H29" s="6">
        <v>19.0</v>
      </c>
      <c r="I29" s="6">
        <v>0.0</v>
      </c>
      <c r="J29" s="6">
        <v>0.0</v>
      </c>
      <c r="K29" s="6">
        <v>0.0</v>
      </c>
      <c r="L29" s="6">
        <v>5.0</v>
      </c>
    </row>
    <row r="30">
      <c r="A30" s="6" t="s">
        <v>59</v>
      </c>
      <c r="B30" s="6" t="s">
        <v>45</v>
      </c>
      <c r="C30" s="6">
        <v>15.0</v>
      </c>
      <c r="D30" s="6">
        <v>23.0</v>
      </c>
      <c r="E30" s="6">
        <v>0.0</v>
      </c>
      <c r="F30" s="6">
        <v>5.0</v>
      </c>
      <c r="G30" s="10">
        <v>3.0</v>
      </c>
      <c r="H30" s="6">
        <v>23.0</v>
      </c>
      <c r="I30" s="6">
        <v>0.0</v>
      </c>
      <c r="J30" s="6">
        <v>0.0</v>
      </c>
      <c r="K30" s="6">
        <v>0.0</v>
      </c>
      <c r="L30" s="6">
        <v>5.0</v>
      </c>
    </row>
    <row r="31">
      <c r="A31" s="6" t="s">
        <v>50</v>
      </c>
      <c r="B31" s="6" t="s">
        <v>45</v>
      </c>
      <c r="C31" s="6">
        <v>15.0</v>
      </c>
      <c r="D31" s="6">
        <v>22.0</v>
      </c>
      <c r="E31" s="6">
        <v>0.0</v>
      </c>
      <c r="F31" s="6">
        <v>5.0</v>
      </c>
      <c r="G31" s="10">
        <v>3.0</v>
      </c>
      <c r="H31" s="6">
        <v>22.0</v>
      </c>
      <c r="I31" s="6">
        <v>0.0</v>
      </c>
      <c r="J31" s="6">
        <v>0.0</v>
      </c>
      <c r="K31" s="6">
        <v>0.0</v>
      </c>
      <c r="L31" s="6">
        <v>5.0</v>
      </c>
    </row>
    <row r="32">
      <c r="A32" s="6" t="s">
        <v>95</v>
      </c>
      <c r="B32" s="6" t="s">
        <v>45</v>
      </c>
      <c r="C32" s="6">
        <v>20.0</v>
      </c>
      <c r="D32" s="6">
        <v>34.0</v>
      </c>
      <c r="E32" s="6">
        <v>0.0</v>
      </c>
      <c r="F32" s="6">
        <v>6.0</v>
      </c>
      <c r="G32" s="10">
        <v>3.33</v>
      </c>
      <c r="H32" s="6">
        <v>34.0</v>
      </c>
      <c r="I32" s="6">
        <v>0.0</v>
      </c>
      <c r="J32" s="6">
        <v>0.0</v>
      </c>
      <c r="K32" s="6">
        <v>0.0</v>
      </c>
      <c r="L32" s="6">
        <v>6.0</v>
      </c>
    </row>
    <row r="33">
      <c r="A33" s="6" t="s">
        <v>73</v>
      </c>
      <c r="B33" s="6" t="s">
        <v>45</v>
      </c>
      <c r="C33" s="6">
        <v>20.0</v>
      </c>
      <c r="D33" s="6">
        <v>31.0</v>
      </c>
      <c r="E33" s="6">
        <v>0.0</v>
      </c>
      <c r="F33" s="6">
        <v>6.0</v>
      </c>
      <c r="G33" s="10">
        <v>3.33</v>
      </c>
      <c r="H33" s="6">
        <v>31.0</v>
      </c>
      <c r="I33" s="6">
        <v>0.0</v>
      </c>
      <c r="J33" s="6">
        <v>0.0</v>
      </c>
      <c r="K33" s="6">
        <v>0.0</v>
      </c>
      <c r="L33" s="6">
        <v>6.0</v>
      </c>
    </row>
    <row r="34">
      <c r="A34" s="6" t="s">
        <v>46</v>
      </c>
      <c r="B34" s="6" t="s">
        <v>45</v>
      </c>
      <c r="C34" s="6">
        <v>20.0</v>
      </c>
      <c r="D34" s="6">
        <v>25.0</v>
      </c>
      <c r="E34" s="6">
        <v>0.0</v>
      </c>
      <c r="F34" s="6">
        <v>6.0</v>
      </c>
      <c r="G34" s="10">
        <v>3.33</v>
      </c>
      <c r="H34" s="6">
        <v>25.0</v>
      </c>
      <c r="I34" s="6">
        <v>0.0</v>
      </c>
      <c r="J34" s="6">
        <v>0.0</v>
      </c>
      <c r="K34" s="6">
        <v>0.0</v>
      </c>
      <c r="L34" s="6">
        <v>6.0</v>
      </c>
    </row>
    <row r="35">
      <c r="A35" s="6" t="s">
        <v>103</v>
      </c>
      <c r="B35" s="6" t="s">
        <v>45</v>
      </c>
      <c r="C35" s="6">
        <v>20.0</v>
      </c>
      <c r="D35" s="6">
        <v>26.0</v>
      </c>
      <c r="E35" s="6">
        <v>0.0</v>
      </c>
      <c r="F35" s="6">
        <v>7.0</v>
      </c>
      <c r="G35" s="10">
        <v>2.86</v>
      </c>
      <c r="H35" s="6">
        <v>26.0</v>
      </c>
      <c r="I35" s="6">
        <v>0.0</v>
      </c>
      <c r="J35" s="6">
        <v>0.0</v>
      </c>
      <c r="K35" s="6">
        <v>1.0</v>
      </c>
      <c r="L35" s="6">
        <v>6.0</v>
      </c>
    </row>
    <row r="36">
      <c r="A36" s="6" t="s">
        <v>131</v>
      </c>
      <c r="B36" s="6" t="s">
        <v>45</v>
      </c>
      <c r="C36" s="6">
        <v>20.0</v>
      </c>
      <c r="D36" s="6">
        <v>35.0</v>
      </c>
      <c r="E36" s="6">
        <v>0.0</v>
      </c>
      <c r="F36" s="6">
        <v>7.0</v>
      </c>
      <c r="G36" s="10">
        <v>2.86</v>
      </c>
      <c r="H36" s="6">
        <v>35.0</v>
      </c>
      <c r="I36" s="6">
        <v>0.0</v>
      </c>
      <c r="J36" s="6">
        <v>0.0</v>
      </c>
      <c r="K36" s="6">
        <v>1.0</v>
      </c>
      <c r="L36" s="6">
        <v>6.0</v>
      </c>
    </row>
    <row r="37">
      <c r="A37" s="6" t="s">
        <v>115</v>
      </c>
      <c r="B37" s="6" t="s">
        <v>45</v>
      </c>
      <c r="C37" s="6">
        <v>25.0</v>
      </c>
      <c r="D37" s="6">
        <v>34.0</v>
      </c>
      <c r="E37" s="6">
        <v>0.0</v>
      </c>
      <c r="F37" s="6">
        <v>8.0</v>
      </c>
      <c r="G37" s="10">
        <v>3.13</v>
      </c>
      <c r="H37" s="6">
        <v>34.0</v>
      </c>
      <c r="I37" s="6">
        <v>0.0</v>
      </c>
      <c r="J37" s="6">
        <v>0.0</v>
      </c>
      <c r="K37" s="6">
        <v>0.0</v>
      </c>
      <c r="L37" s="6">
        <v>8.0</v>
      </c>
    </row>
    <row r="38">
      <c r="A38" s="6" t="s">
        <v>71</v>
      </c>
      <c r="B38" s="6" t="s">
        <v>45</v>
      </c>
      <c r="C38" s="6">
        <v>25.0</v>
      </c>
      <c r="D38" s="6">
        <v>44.0</v>
      </c>
      <c r="E38" s="6">
        <v>0.0</v>
      </c>
      <c r="F38" s="6">
        <v>8.0</v>
      </c>
      <c r="G38" s="10">
        <v>3.13</v>
      </c>
      <c r="H38" s="6">
        <v>44.0</v>
      </c>
      <c r="I38" s="6">
        <v>0.0</v>
      </c>
      <c r="J38" s="6">
        <v>0.0</v>
      </c>
      <c r="K38" s="6">
        <v>1.0</v>
      </c>
      <c r="L38" s="6">
        <v>7.0</v>
      </c>
    </row>
    <row r="39">
      <c r="A39" s="6" t="s">
        <v>87</v>
      </c>
      <c r="B39" s="6" t="s">
        <v>45</v>
      </c>
      <c r="C39" s="6">
        <v>25.0</v>
      </c>
      <c r="D39" s="6">
        <v>41.0</v>
      </c>
      <c r="E39" s="6">
        <v>0.0</v>
      </c>
      <c r="F39" s="6">
        <v>8.0</v>
      </c>
      <c r="G39" s="10">
        <v>3.13</v>
      </c>
      <c r="H39" s="6">
        <v>41.0</v>
      </c>
      <c r="I39" s="6">
        <v>0.0</v>
      </c>
      <c r="J39" s="6">
        <v>0.0</v>
      </c>
      <c r="K39" s="6">
        <v>1.0</v>
      </c>
      <c r="L39" s="6">
        <v>7.0</v>
      </c>
    </row>
    <row r="40">
      <c r="A40" s="6" t="s">
        <v>44</v>
      </c>
      <c r="B40" s="6" t="s">
        <v>45</v>
      </c>
      <c r="C40" s="6">
        <v>25.0</v>
      </c>
      <c r="D40" s="6">
        <v>43.0</v>
      </c>
      <c r="E40" s="6">
        <v>0.0</v>
      </c>
      <c r="F40" s="6">
        <v>9.0</v>
      </c>
      <c r="G40" s="10">
        <v>2.78</v>
      </c>
      <c r="H40" s="6">
        <v>43.0</v>
      </c>
      <c r="I40" s="6">
        <v>0.0</v>
      </c>
      <c r="J40" s="6">
        <v>0.0</v>
      </c>
      <c r="K40" s="6">
        <v>1.0</v>
      </c>
      <c r="L40" s="6">
        <v>8.0</v>
      </c>
    </row>
    <row r="41">
      <c r="A41" s="6" t="s">
        <v>134</v>
      </c>
      <c r="B41" s="6" t="s">
        <v>45</v>
      </c>
      <c r="C41" s="6">
        <v>25.0</v>
      </c>
      <c r="D41" s="6">
        <v>45.0</v>
      </c>
      <c r="E41" s="6">
        <v>0.0</v>
      </c>
      <c r="F41" s="6">
        <v>8.0</v>
      </c>
      <c r="G41" s="10">
        <v>3.13</v>
      </c>
      <c r="H41" s="6">
        <v>45.0</v>
      </c>
      <c r="I41" s="6">
        <v>0.0</v>
      </c>
      <c r="J41" s="6">
        <v>0.0</v>
      </c>
      <c r="K41" s="6">
        <v>0.0</v>
      </c>
      <c r="L41" s="6">
        <v>8.0</v>
      </c>
    </row>
    <row r="42">
      <c r="A42" s="6" t="s">
        <v>153</v>
      </c>
      <c r="B42" s="6" t="s">
        <v>45</v>
      </c>
      <c r="C42" s="6">
        <v>30.0</v>
      </c>
      <c r="D42" s="6">
        <v>54.0</v>
      </c>
      <c r="E42" s="6">
        <v>0.0</v>
      </c>
      <c r="F42" s="6">
        <v>8.0</v>
      </c>
      <c r="G42" s="10">
        <v>3.75</v>
      </c>
      <c r="H42" s="6">
        <v>54.0</v>
      </c>
      <c r="I42" s="6">
        <v>0.0</v>
      </c>
      <c r="J42" s="6">
        <v>0.0</v>
      </c>
      <c r="K42" s="6">
        <v>0.0</v>
      </c>
      <c r="L42" s="6">
        <v>8.0</v>
      </c>
    </row>
    <row r="43">
      <c r="A43" s="6" t="s">
        <v>51</v>
      </c>
      <c r="B43" s="6" t="s">
        <v>45</v>
      </c>
      <c r="C43" s="6">
        <v>30.0</v>
      </c>
      <c r="D43" s="6">
        <v>59.0</v>
      </c>
      <c r="E43" s="6">
        <v>0.0</v>
      </c>
      <c r="F43" s="6">
        <v>9.0</v>
      </c>
      <c r="G43" s="10">
        <v>3.33</v>
      </c>
      <c r="H43" s="6">
        <v>59.0</v>
      </c>
      <c r="I43" s="6">
        <v>0.0</v>
      </c>
      <c r="J43" s="6">
        <v>0.0</v>
      </c>
      <c r="K43" s="6">
        <v>0.0</v>
      </c>
      <c r="L43" s="6">
        <v>9.0</v>
      </c>
    </row>
    <row r="44">
      <c r="A44" s="6" t="s">
        <v>96</v>
      </c>
      <c r="B44" s="6" t="s">
        <v>45</v>
      </c>
      <c r="C44" s="6">
        <v>30.0</v>
      </c>
      <c r="D44" s="6">
        <v>64.0</v>
      </c>
      <c r="E44" s="6">
        <v>0.0</v>
      </c>
      <c r="F44" s="6">
        <v>10.0</v>
      </c>
      <c r="G44" s="10">
        <v>3.0</v>
      </c>
      <c r="H44" s="6">
        <v>64.0</v>
      </c>
      <c r="I44" s="6">
        <v>0.0</v>
      </c>
      <c r="J44" s="6">
        <v>0.0</v>
      </c>
      <c r="K44" s="6">
        <v>0.0</v>
      </c>
      <c r="L44" s="6">
        <v>10.0</v>
      </c>
    </row>
    <row r="45">
      <c r="A45" s="6" t="s">
        <v>106</v>
      </c>
      <c r="B45" s="6" t="s">
        <v>45</v>
      </c>
      <c r="C45" s="6">
        <v>30.0</v>
      </c>
      <c r="D45" s="6">
        <v>62.0</v>
      </c>
      <c r="E45" s="6">
        <v>0.0</v>
      </c>
      <c r="F45" s="6">
        <v>9.0</v>
      </c>
      <c r="G45" s="10">
        <v>3.33</v>
      </c>
      <c r="H45" s="6">
        <v>62.0</v>
      </c>
      <c r="I45" s="6">
        <v>0.0</v>
      </c>
      <c r="J45" s="6">
        <v>0.0</v>
      </c>
      <c r="K45" s="6">
        <v>1.0</v>
      </c>
      <c r="L45" s="6">
        <v>8.0</v>
      </c>
    </row>
    <row r="46">
      <c r="A46" s="6" t="s">
        <v>91</v>
      </c>
      <c r="B46" s="6" t="s">
        <v>45</v>
      </c>
      <c r="C46" s="6">
        <v>30.0</v>
      </c>
      <c r="D46" s="6">
        <v>58.0</v>
      </c>
      <c r="E46" s="6">
        <v>0.0</v>
      </c>
      <c r="F46" s="6">
        <v>9.0</v>
      </c>
      <c r="G46" s="10">
        <v>3.33</v>
      </c>
      <c r="H46" s="6">
        <v>58.0</v>
      </c>
      <c r="I46" s="6">
        <v>0.0</v>
      </c>
      <c r="J46" s="6">
        <v>0.0</v>
      </c>
      <c r="K46" s="6">
        <v>0.0</v>
      </c>
      <c r="L46" s="6">
        <v>9.0</v>
      </c>
    </row>
    <row r="47">
      <c r="A47" s="6" t="s">
        <v>66</v>
      </c>
      <c r="B47" s="6" t="s">
        <v>45</v>
      </c>
      <c r="C47" s="6">
        <v>40.0</v>
      </c>
      <c r="D47" s="6">
        <v>88.0</v>
      </c>
      <c r="E47" s="6">
        <v>0.0</v>
      </c>
      <c r="F47" s="6">
        <v>12.0</v>
      </c>
      <c r="G47" s="10">
        <v>3.33</v>
      </c>
      <c r="H47" s="6">
        <v>88.0</v>
      </c>
      <c r="I47" s="6">
        <v>0.0</v>
      </c>
      <c r="J47" s="6">
        <v>0.0</v>
      </c>
      <c r="K47" s="6">
        <v>1.0</v>
      </c>
      <c r="L47" s="6">
        <v>11.0</v>
      </c>
    </row>
    <row r="48">
      <c r="A48" s="6" t="s">
        <v>75</v>
      </c>
      <c r="B48" s="6" t="s">
        <v>45</v>
      </c>
      <c r="C48" s="6">
        <v>40.0</v>
      </c>
      <c r="D48" s="6">
        <v>82.0</v>
      </c>
      <c r="E48" s="6">
        <v>0.0</v>
      </c>
      <c r="F48" s="6">
        <v>12.0</v>
      </c>
      <c r="G48" s="10">
        <v>3.33</v>
      </c>
      <c r="H48" s="6">
        <v>82.0</v>
      </c>
      <c r="I48" s="6">
        <v>0.0</v>
      </c>
      <c r="J48" s="6">
        <v>0.0</v>
      </c>
      <c r="K48" s="6">
        <v>0.0</v>
      </c>
      <c r="L48" s="6">
        <v>12.0</v>
      </c>
    </row>
    <row r="49">
      <c r="A49" s="6" t="s">
        <v>58</v>
      </c>
      <c r="B49" s="6" t="s">
        <v>45</v>
      </c>
      <c r="C49" s="6">
        <v>40.0</v>
      </c>
      <c r="D49" s="6">
        <v>91.0</v>
      </c>
      <c r="E49" s="6">
        <v>0.0</v>
      </c>
      <c r="F49" s="6">
        <v>13.0</v>
      </c>
      <c r="G49" s="10">
        <v>3.08</v>
      </c>
      <c r="H49" s="6">
        <v>91.0</v>
      </c>
      <c r="I49" s="6">
        <v>0.0</v>
      </c>
      <c r="J49" s="6">
        <v>0.0</v>
      </c>
      <c r="K49" s="6">
        <v>0.0</v>
      </c>
      <c r="L49" s="6">
        <v>13.0</v>
      </c>
    </row>
    <row r="50">
      <c r="A50" s="6" t="s">
        <v>108</v>
      </c>
      <c r="B50" s="6" t="s">
        <v>45</v>
      </c>
      <c r="C50" s="6">
        <v>40.0</v>
      </c>
      <c r="D50" s="6">
        <v>93.0</v>
      </c>
      <c r="E50" s="6">
        <v>0.0</v>
      </c>
      <c r="F50" s="6">
        <v>13.0</v>
      </c>
      <c r="G50" s="10">
        <v>3.08</v>
      </c>
      <c r="H50" s="6">
        <v>93.0</v>
      </c>
      <c r="I50" s="6">
        <v>0.0</v>
      </c>
      <c r="J50" s="6">
        <v>0.0</v>
      </c>
      <c r="K50" s="6">
        <v>2.0</v>
      </c>
      <c r="L50" s="6">
        <v>11.0</v>
      </c>
    </row>
    <row r="51">
      <c r="A51" s="11" t="s">
        <v>122</v>
      </c>
      <c r="B51" s="11" t="s">
        <v>45</v>
      </c>
      <c r="C51" s="11">
        <v>40.0</v>
      </c>
      <c r="D51" s="11">
        <v>92.0</v>
      </c>
      <c r="E51" s="11">
        <v>0.0</v>
      </c>
      <c r="F51" s="11">
        <v>14.0</v>
      </c>
      <c r="G51" s="12">
        <v>2.86</v>
      </c>
      <c r="H51" s="11">
        <v>92.0</v>
      </c>
      <c r="I51" s="11">
        <v>0.0</v>
      </c>
      <c r="J51" s="11">
        <v>0.0</v>
      </c>
      <c r="K51" s="11">
        <v>2.0</v>
      </c>
      <c r="L51" s="11">
        <v>12.0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6" t="s">
        <v>88</v>
      </c>
      <c r="B52" s="6" t="s">
        <v>45</v>
      </c>
      <c r="C52" s="6">
        <v>50.0</v>
      </c>
      <c r="D52" s="6">
        <v>115.0</v>
      </c>
      <c r="E52" s="6">
        <v>0.0</v>
      </c>
      <c r="F52" s="6">
        <v>16.0</v>
      </c>
      <c r="G52" s="10">
        <v>3.13</v>
      </c>
      <c r="H52" s="6">
        <v>115.0</v>
      </c>
      <c r="I52" s="6">
        <v>0.0</v>
      </c>
      <c r="J52" s="6">
        <v>0.0</v>
      </c>
      <c r="K52" s="6">
        <v>3.0</v>
      </c>
      <c r="L52" s="6">
        <v>13.0</v>
      </c>
    </row>
    <row r="53">
      <c r="A53" s="6" t="s">
        <v>135</v>
      </c>
      <c r="B53" s="6" t="s">
        <v>45</v>
      </c>
      <c r="C53" s="6">
        <v>50.0</v>
      </c>
      <c r="D53" s="6">
        <v>124.0</v>
      </c>
      <c r="E53" s="6">
        <v>0.0</v>
      </c>
      <c r="F53" s="6">
        <v>14.0</v>
      </c>
      <c r="G53" s="10">
        <v>3.57</v>
      </c>
      <c r="H53" s="6">
        <v>124.0</v>
      </c>
      <c r="I53" s="6">
        <v>0.0</v>
      </c>
      <c r="J53" s="6">
        <v>0.0</v>
      </c>
      <c r="K53" s="6">
        <v>0.0</v>
      </c>
      <c r="L53" s="6">
        <v>14.0</v>
      </c>
    </row>
    <row r="54">
      <c r="A54" s="6" t="s">
        <v>54</v>
      </c>
      <c r="B54" s="6" t="s">
        <v>45</v>
      </c>
      <c r="C54" s="6">
        <v>50.0</v>
      </c>
      <c r="D54" s="6">
        <v>122.0</v>
      </c>
      <c r="E54" s="6">
        <v>0.0</v>
      </c>
      <c r="F54" s="6">
        <v>16.0</v>
      </c>
      <c r="G54" s="10">
        <v>3.13</v>
      </c>
      <c r="H54" s="6">
        <v>122.0</v>
      </c>
      <c r="I54" s="6">
        <v>0.0</v>
      </c>
      <c r="J54" s="6">
        <v>0.0</v>
      </c>
      <c r="K54" s="6">
        <v>2.0</v>
      </c>
      <c r="L54" s="6">
        <v>14.0</v>
      </c>
    </row>
    <row r="55">
      <c r="A55" s="6" t="s">
        <v>148</v>
      </c>
      <c r="B55" s="6" t="s">
        <v>45</v>
      </c>
      <c r="C55" s="6">
        <v>50.0</v>
      </c>
      <c r="D55" s="6">
        <v>118.0</v>
      </c>
      <c r="E55" s="6">
        <v>0.0</v>
      </c>
      <c r="F55" s="6">
        <v>16.0</v>
      </c>
      <c r="G55" s="10">
        <v>3.13</v>
      </c>
      <c r="H55" s="6">
        <v>118.0</v>
      </c>
      <c r="I55" s="6">
        <v>0.0</v>
      </c>
      <c r="J55" s="6">
        <v>0.0</v>
      </c>
      <c r="K55" s="6">
        <v>0.0</v>
      </c>
      <c r="L55" s="6">
        <v>16.0</v>
      </c>
    </row>
    <row r="56">
      <c r="A56" s="6" t="s">
        <v>76</v>
      </c>
      <c r="B56" s="6" t="s">
        <v>45</v>
      </c>
      <c r="C56" s="6">
        <v>50.0</v>
      </c>
      <c r="D56" s="6">
        <v>127.0</v>
      </c>
      <c r="E56" s="6">
        <v>0.0</v>
      </c>
      <c r="F56" s="6">
        <v>16.0</v>
      </c>
      <c r="G56" s="10">
        <v>3.13</v>
      </c>
      <c r="H56" s="6">
        <v>127.0</v>
      </c>
      <c r="I56" s="6">
        <v>0.0</v>
      </c>
      <c r="J56" s="6">
        <v>0.0</v>
      </c>
      <c r="K56" s="6">
        <v>1.0</v>
      </c>
      <c r="L56" s="6">
        <v>15.0</v>
      </c>
    </row>
    <row r="57">
      <c r="A57" s="6" t="s">
        <v>62</v>
      </c>
      <c r="B57" s="6" t="s">
        <v>45</v>
      </c>
      <c r="C57" s="6">
        <v>75.0</v>
      </c>
      <c r="D57" s="6">
        <v>222.0</v>
      </c>
      <c r="E57" s="6">
        <v>0.1</v>
      </c>
      <c r="F57" s="6">
        <v>22.0</v>
      </c>
      <c r="G57" s="10">
        <v>3.41</v>
      </c>
      <c r="H57" s="6">
        <v>222.0</v>
      </c>
      <c r="I57" s="6">
        <v>0.0</v>
      </c>
      <c r="J57" s="6">
        <v>0.0</v>
      </c>
      <c r="K57" s="6">
        <v>4.0</v>
      </c>
      <c r="L57" s="6">
        <v>18.0</v>
      </c>
    </row>
    <row r="58">
      <c r="A58" s="6" t="s">
        <v>72</v>
      </c>
      <c r="B58" s="6" t="s">
        <v>45</v>
      </c>
      <c r="C58" s="6">
        <v>75.0</v>
      </c>
      <c r="D58" s="6">
        <v>192.0</v>
      </c>
      <c r="E58" s="6">
        <v>0.1</v>
      </c>
      <c r="F58" s="6">
        <v>25.0</v>
      </c>
      <c r="G58" s="10">
        <v>3.0</v>
      </c>
      <c r="H58" s="6">
        <v>192.0</v>
      </c>
      <c r="I58" s="6">
        <v>0.0</v>
      </c>
      <c r="J58" s="6">
        <v>0.0</v>
      </c>
      <c r="K58" s="6">
        <v>4.0</v>
      </c>
      <c r="L58" s="6">
        <v>21.0</v>
      </c>
    </row>
    <row r="59">
      <c r="A59" s="6" t="s">
        <v>74</v>
      </c>
      <c r="B59" s="6" t="s">
        <v>45</v>
      </c>
      <c r="C59" s="6">
        <v>75.0</v>
      </c>
      <c r="D59" s="6">
        <v>196.0</v>
      </c>
      <c r="E59" s="6">
        <v>0.1</v>
      </c>
      <c r="F59" s="6">
        <v>24.0</v>
      </c>
      <c r="G59" s="10">
        <v>3.13</v>
      </c>
      <c r="H59" s="6">
        <v>196.0</v>
      </c>
      <c r="I59" s="6">
        <v>0.0</v>
      </c>
      <c r="J59" s="6">
        <v>0.0</v>
      </c>
      <c r="K59" s="6">
        <v>3.0</v>
      </c>
      <c r="L59" s="6">
        <v>21.0</v>
      </c>
    </row>
    <row r="60">
      <c r="A60" s="6" t="s">
        <v>120</v>
      </c>
      <c r="B60" s="6" t="s">
        <v>45</v>
      </c>
      <c r="C60" s="6">
        <v>75.0</v>
      </c>
      <c r="D60" s="6">
        <v>189.0</v>
      </c>
      <c r="E60" s="6">
        <v>0.1</v>
      </c>
      <c r="F60" s="6">
        <v>23.0</v>
      </c>
      <c r="G60" s="10">
        <v>3.26</v>
      </c>
      <c r="H60" s="6">
        <v>189.0</v>
      </c>
      <c r="I60" s="6">
        <v>0.0</v>
      </c>
      <c r="J60" s="6">
        <v>1.0</v>
      </c>
      <c r="K60" s="6">
        <v>4.0</v>
      </c>
      <c r="L60" s="6">
        <v>18.0</v>
      </c>
    </row>
    <row r="61">
      <c r="A61" s="6" t="s">
        <v>119</v>
      </c>
      <c r="B61" s="6" t="s">
        <v>45</v>
      </c>
      <c r="C61" s="6">
        <v>75.0</v>
      </c>
      <c r="D61" s="6">
        <v>192.0</v>
      </c>
      <c r="E61" s="6">
        <v>0.1</v>
      </c>
      <c r="F61" s="6">
        <v>23.0</v>
      </c>
      <c r="G61" s="10">
        <v>3.26</v>
      </c>
      <c r="H61" s="6">
        <v>192.0</v>
      </c>
      <c r="I61" s="6">
        <v>0.0</v>
      </c>
      <c r="J61" s="6">
        <v>1.0</v>
      </c>
      <c r="K61" s="6">
        <v>1.0</v>
      </c>
      <c r="L61" s="6">
        <v>21.0</v>
      </c>
    </row>
    <row r="62">
      <c r="A62" s="6" t="s">
        <v>101</v>
      </c>
      <c r="B62" s="6" t="s">
        <v>45</v>
      </c>
      <c r="C62" s="6">
        <v>100.0</v>
      </c>
      <c r="D62" s="6">
        <v>300.0</v>
      </c>
      <c r="E62" s="6">
        <v>0.2</v>
      </c>
      <c r="F62" s="6">
        <v>29.0</v>
      </c>
      <c r="G62" s="10">
        <v>3.45</v>
      </c>
      <c r="H62" s="6">
        <v>300.0</v>
      </c>
      <c r="I62" s="6">
        <v>0.0</v>
      </c>
      <c r="J62" s="6">
        <v>0.0</v>
      </c>
      <c r="K62" s="6">
        <v>4.0</v>
      </c>
      <c r="L62" s="6">
        <v>25.0</v>
      </c>
    </row>
    <row r="63">
      <c r="A63" s="6" t="s">
        <v>117</v>
      </c>
      <c r="B63" s="6" t="s">
        <v>45</v>
      </c>
      <c r="C63" s="6">
        <v>100.0</v>
      </c>
      <c r="D63" s="6">
        <v>282.0</v>
      </c>
      <c r="E63" s="6">
        <v>0.2</v>
      </c>
      <c r="F63" s="6">
        <v>33.0</v>
      </c>
      <c r="G63" s="10">
        <v>3.03</v>
      </c>
      <c r="H63" s="6">
        <v>282.0</v>
      </c>
      <c r="I63" s="6">
        <v>0.0</v>
      </c>
      <c r="J63" s="6">
        <v>0.0</v>
      </c>
      <c r="K63" s="6">
        <v>9.0</v>
      </c>
      <c r="L63" s="6">
        <v>24.0</v>
      </c>
    </row>
    <row r="64">
      <c r="A64" s="6" t="s">
        <v>98</v>
      </c>
      <c r="B64" s="6" t="s">
        <v>45</v>
      </c>
      <c r="C64" s="6">
        <v>100.0</v>
      </c>
      <c r="D64" s="6">
        <v>300.0</v>
      </c>
      <c r="E64" s="6">
        <v>0.1</v>
      </c>
      <c r="F64" s="6">
        <v>30.0</v>
      </c>
      <c r="G64" s="10">
        <v>3.33</v>
      </c>
      <c r="H64" s="6">
        <v>300.0</v>
      </c>
      <c r="I64" s="6">
        <v>0.0</v>
      </c>
      <c r="J64" s="6">
        <v>1.0</v>
      </c>
      <c r="K64" s="6">
        <v>5.0</v>
      </c>
      <c r="L64" s="6">
        <v>24.0</v>
      </c>
    </row>
    <row r="65">
      <c r="A65" s="6" t="s">
        <v>143</v>
      </c>
      <c r="B65" s="6" t="s">
        <v>45</v>
      </c>
      <c r="C65" s="6">
        <v>100.0</v>
      </c>
      <c r="D65" s="6">
        <v>280.0</v>
      </c>
      <c r="E65" s="6">
        <v>0.1</v>
      </c>
      <c r="F65" s="6">
        <v>32.0</v>
      </c>
      <c r="G65" s="10">
        <v>3.13</v>
      </c>
      <c r="H65" s="6">
        <v>280.0</v>
      </c>
      <c r="I65" s="6">
        <v>0.0</v>
      </c>
      <c r="J65" s="6">
        <v>0.0</v>
      </c>
      <c r="K65" s="6">
        <v>6.0</v>
      </c>
      <c r="L65" s="6">
        <v>26.0</v>
      </c>
    </row>
    <row r="66">
      <c r="A66" s="6" t="s">
        <v>92</v>
      </c>
      <c r="B66" s="6" t="s">
        <v>45</v>
      </c>
      <c r="C66" s="6">
        <v>100.0</v>
      </c>
      <c r="D66" s="6">
        <v>303.0</v>
      </c>
      <c r="E66" s="6">
        <v>0.1</v>
      </c>
      <c r="F66" s="6">
        <v>29.0</v>
      </c>
      <c r="G66" s="10">
        <v>3.45</v>
      </c>
      <c r="H66" s="6">
        <v>303.0</v>
      </c>
      <c r="I66" s="6">
        <v>0.0</v>
      </c>
      <c r="J66" s="6">
        <v>0.0</v>
      </c>
      <c r="K66" s="6">
        <v>3.0</v>
      </c>
      <c r="L66" s="6">
        <v>26.0</v>
      </c>
    </row>
    <row r="67">
      <c r="A67" s="6" t="s">
        <v>97</v>
      </c>
      <c r="B67" s="6" t="s">
        <v>45</v>
      </c>
      <c r="C67" s="6">
        <v>125.0</v>
      </c>
      <c r="D67" s="6">
        <v>389.0</v>
      </c>
      <c r="E67" s="6">
        <v>0.2</v>
      </c>
      <c r="F67" s="6">
        <v>37.0</v>
      </c>
      <c r="G67" s="10">
        <v>3.38</v>
      </c>
      <c r="H67" s="6">
        <v>389.0</v>
      </c>
      <c r="I67" s="6">
        <v>0.0</v>
      </c>
      <c r="J67" s="6">
        <v>0.0</v>
      </c>
      <c r="K67" s="6">
        <v>7.0</v>
      </c>
      <c r="L67" s="6">
        <v>30.0</v>
      </c>
    </row>
    <row r="68">
      <c r="A68" s="6" t="s">
        <v>121</v>
      </c>
      <c r="B68" s="6" t="s">
        <v>45</v>
      </c>
      <c r="C68" s="6">
        <v>125.0</v>
      </c>
      <c r="D68" s="6">
        <v>383.0</v>
      </c>
      <c r="E68" s="6">
        <v>0.2</v>
      </c>
      <c r="F68" s="6">
        <v>39.0</v>
      </c>
      <c r="G68" s="10">
        <v>3.21</v>
      </c>
      <c r="H68" s="6">
        <v>383.0</v>
      </c>
      <c r="I68" s="6">
        <v>0.0</v>
      </c>
      <c r="J68" s="6">
        <v>0.0</v>
      </c>
      <c r="K68" s="6">
        <v>6.0</v>
      </c>
      <c r="L68" s="6">
        <v>33.0</v>
      </c>
    </row>
    <row r="69">
      <c r="A69" s="6" t="s">
        <v>116</v>
      </c>
      <c r="B69" s="6" t="s">
        <v>45</v>
      </c>
      <c r="C69" s="6">
        <v>125.0</v>
      </c>
      <c r="D69" s="6">
        <v>378.0</v>
      </c>
      <c r="E69" s="6">
        <v>0.2</v>
      </c>
      <c r="F69" s="6">
        <v>40.0</v>
      </c>
      <c r="G69" s="10">
        <v>3.13</v>
      </c>
      <c r="H69" s="6">
        <v>378.0</v>
      </c>
      <c r="I69" s="6">
        <v>0.0</v>
      </c>
      <c r="J69" s="6">
        <v>1.0</v>
      </c>
      <c r="K69" s="6">
        <v>9.0</v>
      </c>
      <c r="L69" s="6">
        <v>30.0</v>
      </c>
    </row>
    <row r="70">
      <c r="A70" s="6" t="s">
        <v>102</v>
      </c>
      <c r="B70" s="6" t="s">
        <v>45</v>
      </c>
      <c r="C70" s="6">
        <v>125.0</v>
      </c>
      <c r="D70" s="6">
        <v>363.0</v>
      </c>
      <c r="E70" s="6">
        <v>0.2</v>
      </c>
      <c r="F70" s="6">
        <v>38.0</v>
      </c>
      <c r="G70" s="10">
        <v>3.29</v>
      </c>
      <c r="H70" s="6">
        <v>363.0</v>
      </c>
      <c r="I70" s="6">
        <v>0.0</v>
      </c>
      <c r="J70" s="6">
        <v>0.0</v>
      </c>
      <c r="K70" s="6">
        <v>5.0</v>
      </c>
      <c r="L70" s="6">
        <v>33.0</v>
      </c>
    </row>
    <row r="71">
      <c r="A71" s="6" t="s">
        <v>147</v>
      </c>
      <c r="B71" s="6" t="s">
        <v>45</v>
      </c>
      <c r="C71" s="6">
        <v>125.0</v>
      </c>
      <c r="D71" s="6">
        <v>383.0</v>
      </c>
      <c r="E71" s="6">
        <v>0.2</v>
      </c>
      <c r="F71" s="6">
        <v>38.0</v>
      </c>
      <c r="G71" s="10">
        <v>3.29</v>
      </c>
      <c r="H71" s="6">
        <v>383.0</v>
      </c>
      <c r="I71" s="6">
        <v>0.0</v>
      </c>
      <c r="J71" s="6">
        <v>0.0</v>
      </c>
      <c r="K71" s="6">
        <v>9.0</v>
      </c>
      <c r="L71" s="6">
        <v>29.0</v>
      </c>
    </row>
    <row r="72">
      <c r="A72" s="6" t="s">
        <v>146</v>
      </c>
      <c r="B72" s="6" t="s">
        <v>45</v>
      </c>
      <c r="C72" s="6">
        <v>150.0</v>
      </c>
      <c r="D72" s="6">
        <v>470.0</v>
      </c>
      <c r="E72" s="6">
        <v>0.3</v>
      </c>
      <c r="F72" s="6">
        <v>46.0</v>
      </c>
      <c r="G72" s="10">
        <v>3.26</v>
      </c>
      <c r="H72" s="6">
        <v>470.0</v>
      </c>
      <c r="I72" s="6">
        <v>0.0</v>
      </c>
      <c r="J72" s="6">
        <v>2.0</v>
      </c>
      <c r="K72" s="6">
        <v>8.0</v>
      </c>
      <c r="L72" s="6">
        <v>36.0</v>
      </c>
    </row>
    <row r="73">
      <c r="A73" s="6" t="s">
        <v>89</v>
      </c>
      <c r="B73" s="6" t="s">
        <v>45</v>
      </c>
      <c r="C73" s="6">
        <v>150.0</v>
      </c>
      <c r="D73" s="6">
        <v>470.0</v>
      </c>
      <c r="E73" s="6">
        <v>0.3</v>
      </c>
      <c r="F73" s="6">
        <v>46.0</v>
      </c>
      <c r="G73" s="10">
        <v>3.26</v>
      </c>
      <c r="H73" s="6">
        <v>470.0</v>
      </c>
      <c r="I73" s="6">
        <v>0.0</v>
      </c>
      <c r="J73" s="6">
        <v>1.0</v>
      </c>
      <c r="K73" s="6">
        <v>10.0</v>
      </c>
      <c r="L73" s="6">
        <v>35.0</v>
      </c>
    </row>
    <row r="74">
      <c r="A74" s="6" t="s">
        <v>47</v>
      </c>
      <c r="B74" s="6" t="s">
        <v>45</v>
      </c>
      <c r="C74" s="6">
        <v>150.0</v>
      </c>
      <c r="D74" s="6">
        <v>468.0</v>
      </c>
      <c r="E74" s="6">
        <v>0.3</v>
      </c>
      <c r="F74" s="6">
        <v>45.0</v>
      </c>
      <c r="G74" s="10">
        <v>3.33</v>
      </c>
      <c r="H74" s="6">
        <v>468.0</v>
      </c>
      <c r="I74" s="6">
        <v>0.0</v>
      </c>
      <c r="J74" s="6">
        <v>2.0</v>
      </c>
      <c r="K74" s="6">
        <v>10.0</v>
      </c>
      <c r="L74" s="6">
        <v>33.0</v>
      </c>
    </row>
    <row r="75">
      <c r="A75" s="6" t="s">
        <v>137</v>
      </c>
      <c r="B75" s="6" t="s">
        <v>45</v>
      </c>
      <c r="C75" s="6">
        <v>150.0</v>
      </c>
      <c r="D75" s="6">
        <v>479.0</v>
      </c>
      <c r="E75" s="6">
        <v>0.3</v>
      </c>
      <c r="F75" s="6">
        <v>46.0</v>
      </c>
      <c r="G75" s="10">
        <v>3.26</v>
      </c>
      <c r="H75" s="6">
        <v>479.0</v>
      </c>
      <c r="I75" s="6">
        <v>0.0</v>
      </c>
      <c r="J75" s="6">
        <v>2.0</v>
      </c>
      <c r="K75" s="6">
        <v>9.0</v>
      </c>
      <c r="L75" s="6">
        <v>35.0</v>
      </c>
    </row>
    <row r="76">
      <c r="A76" s="6" t="s">
        <v>136</v>
      </c>
      <c r="B76" s="6" t="s">
        <v>45</v>
      </c>
      <c r="C76" s="6">
        <v>150.0</v>
      </c>
      <c r="D76" s="6">
        <v>420.0</v>
      </c>
      <c r="E76" s="6">
        <v>0.3</v>
      </c>
      <c r="F76" s="6">
        <v>47.0</v>
      </c>
      <c r="G76" s="10">
        <v>3.19</v>
      </c>
      <c r="H76" s="6">
        <v>420.0</v>
      </c>
      <c r="I76" s="6">
        <v>0.0</v>
      </c>
      <c r="J76" s="6">
        <v>0.0</v>
      </c>
      <c r="K76" s="6">
        <v>9.0</v>
      </c>
      <c r="L76" s="6">
        <v>38.0</v>
      </c>
    </row>
    <row r="77">
      <c r="A77" s="6" t="s">
        <v>128</v>
      </c>
      <c r="B77" s="6" t="s">
        <v>45</v>
      </c>
      <c r="C77" s="6">
        <v>200.0</v>
      </c>
      <c r="D77" s="6">
        <v>671.0</v>
      </c>
      <c r="E77" s="6">
        <v>0.5</v>
      </c>
      <c r="F77" s="6">
        <v>61.0</v>
      </c>
      <c r="G77" s="10">
        <v>3.28</v>
      </c>
      <c r="H77" s="6">
        <v>671.0</v>
      </c>
      <c r="I77" s="6">
        <v>0.0</v>
      </c>
      <c r="J77" s="6">
        <v>1.0</v>
      </c>
      <c r="K77" s="6">
        <v>23.0</v>
      </c>
      <c r="L77" s="6">
        <v>37.0</v>
      </c>
    </row>
    <row r="78">
      <c r="A78" s="6" t="s">
        <v>68</v>
      </c>
      <c r="B78" s="6" t="s">
        <v>45</v>
      </c>
      <c r="C78" s="6">
        <v>200.0</v>
      </c>
      <c r="D78" s="6">
        <v>614.0</v>
      </c>
      <c r="E78" s="6">
        <v>0.0</v>
      </c>
      <c r="F78" s="6">
        <v>61.0</v>
      </c>
      <c r="G78" s="10">
        <v>3.28</v>
      </c>
      <c r="H78" s="6">
        <v>614.0</v>
      </c>
      <c r="I78" s="6">
        <v>0.0</v>
      </c>
      <c r="J78" s="6">
        <v>3.0</v>
      </c>
      <c r="K78" s="6">
        <v>15.0</v>
      </c>
      <c r="L78" s="6">
        <v>43.0</v>
      </c>
    </row>
    <row r="79">
      <c r="A79" s="6" t="s">
        <v>112</v>
      </c>
      <c r="B79" s="6" t="s">
        <v>45</v>
      </c>
      <c r="C79" s="6">
        <v>200.0</v>
      </c>
      <c r="D79" s="6">
        <v>648.0</v>
      </c>
      <c r="E79" s="6">
        <v>0.5</v>
      </c>
      <c r="F79" s="6">
        <v>59.0</v>
      </c>
      <c r="G79" s="10">
        <v>3.39</v>
      </c>
      <c r="H79" s="6">
        <v>648.0</v>
      </c>
      <c r="I79" s="6">
        <v>0.0</v>
      </c>
      <c r="J79" s="6">
        <v>1.0</v>
      </c>
      <c r="K79" s="6">
        <v>15.0</v>
      </c>
      <c r="L79" s="6">
        <v>43.0</v>
      </c>
    </row>
    <row r="80">
      <c r="A80" s="6" t="s">
        <v>145</v>
      </c>
      <c r="B80" s="6" t="s">
        <v>45</v>
      </c>
      <c r="C80" s="6">
        <v>200.0</v>
      </c>
      <c r="D80" s="6">
        <v>673.0</v>
      </c>
      <c r="E80" s="6">
        <v>0.5</v>
      </c>
      <c r="F80" s="6">
        <v>60.0</v>
      </c>
      <c r="G80" s="10">
        <v>3.33</v>
      </c>
      <c r="H80" s="6">
        <v>673.0</v>
      </c>
      <c r="I80" s="6">
        <v>0.0</v>
      </c>
      <c r="J80" s="6">
        <v>0.0</v>
      </c>
      <c r="K80" s="6">
        <v>15.0</v>
      </c>
      <c r="L80" s="6">
        <v>45.0</v>
      </c>
    </row>
    <row r="81">
      <c r="A81" s="11" t="s">
        <v>56</v>
      </c>
      <c r="B81" s="11" t="s">
        <v>45</v>
      </c>
      <c r="C81" s="11">
        <v>200.0</v>
      </c>
      <c r="D81" s="11">
        <v>583.0</v>
      </c>
      <c r="E81" s="11">
        <v>0.5</v>
      </c>
      <c r="F81" s="11">
        <v>61.0</v>
      </c>
      <c r="G81" s="12">
        <v>3.28</v>
      </c>
      <c r="H81" s="11">
        <v>583.0</v>
      </c>
      <c r="I81" s="11">
        <v>0.0</v>
      </c>
      <c r="J81" s="11">
        <v>1.0</v>
      </c>
      <c r="K81" s="11">
        <v>12.0</v>
      </c>
      <c r="L81" s="11">
        <v>48.0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6" t="s">
        <v>77</v>
      </c>
      <c r="B82" s="6" t="s">
        <v>45</v>
      </c>
      <c r="C82" s="6">
        <v>250.0</v>
      </c>
      <c r="D82" s="6">
        <v>823.0</v>
      </c>
      <c r="E82" s="6">
        <v>0.8</v>
      </c>
      <c r="F82" s="6">
        <v>76.0</v>
      </c>
      <c r="G82" s="10">
        <v>3.29</v>
      </c>
      <c r="H82" s="6">
        <v>823.0</v>
      </c>
      <c r="I82" s="6">
        <v>0.0</v>
      </c>
      <c r="J82" s="6">
        <v>1.0</v>
      </c>
      <c r="K82" s="6">
        <v>24.0</v>
      </c>
      <c r="L82" s="6">
        <v>51.0</v>
      </c>
    </row>
    <row r="83">
      <c r="A83" s="6" t="s">
        <v>67</v>
      </c>
      <c r="B83" s="6" t="s">
        <v>45</v>
      </c>
      <c r="C83" s="6">
        <v>250.0</v>
      </c>
      <c r="D83" s="6">
        <v>803.0</v>
      </c>
      <c r="E83" s="6">
        <v>0.8</v>
      </c>
      <c r="F83" s="6">
        <v>74.0</v>
      </c>
      <c r="G83" s="10">
        <v>3.38</v>
      </c>
      <c r="H83" s="6">
        <v>803.0</v>
      </c>
      <c r="I83" s="6">
        <v>0.0</v>
      </c>
      <c r="J83" s="6">
        <v>2.0</v>
      </c>
      <c r="K83" s="6">
        <v>13.0</v>
      </c>
      <c r="L83" s="6">
        <v>59.0</v>
      </c>
    </row>
    <row r="84">
      <c r="A84" s="6" t="s">
        <v>70</v>
      </c>
      <c r="B84" s="6" t="s">
        <v>45</v>
      </c>
      <c r="C84" s="6">
        <v>250.0</v>
      </c>
      <c r="D84" s="6">
        <v>817.0</v>
      </c>
      <c r="E84" s="6">
        <v>0.8</v>
      </c>
      <c r="F84" s="6">
        <v>74.0</v>
      </c>
      <c r="G84" s="10">
        <v>3.38</v>
      </c>
      <c r="H84" s="6">
        <v>817.0</v>
      </c>
      <c r="I84" s="6">
        <v>0.0</v>
      </c>
      <c r="J84" s="6">
        <v>2.0</v>
      </c>
      <c r="K84" s="6">
        <v>13.0</v>
      </c>
      <c r="L84" s="6">
        <v>59.0</v>
      </c>
    </row>
    <row r="85">
      <c r="A85" s="6" t="s">
        <v>104</v>
      </c>
      <c r="B85" s="6" t="s">
        <v>45</v>
      </c>
      <c r="C85" s="6">
        <v>250.0</v>
      </c>
      <c r="D85" s="6">
        <v>777.0</v>
      </c>
      <c r="E85" s="6">
        <v>0.8</v>
      </c>
      <c r="F85" s="6">
        <v>74.0</v>
      </c>
      <c r="G85" s="10">
        <v>3.38</v>
      </c>
      <c r="H85" s="6">
        <v>777.0</v>
      </c>
      <c r="I85" s="6">
        <v>0.0</v>
      </c>
      <c r="J85" s="6">
        <v>0.0</v>
      </c>
      <c r="K85" s="6">
        <v>15.0</v>
      </c>
      <c r="L85" s="6">
        <v>59.0</v>
      </c>
    </row>
    <row r="86">
      <c r="A86" s="6" t="s">
        <v>84</v>
      </c>
      <c r="B86" s="6" t="s">
        <v>45</v>
      </c>
      <c r="C86" s="6">
        <v>250.0</v>
      </c>
      <c r="D86" s="6">
        <v>822.0</v>
      </c>
      <c r="E86" s="6">
        <v>0.8</v>
      </c>
      <c r="F86" s="6">
        <v>74.0</v>
      </c>
      <c r="G86" s="10">
        <v>3.38</v>
      </c>
      <c r="H86" s="6">
        <v>822.0</v>
      </c>
      <c r="I86" s="6">
        <v>0.0</v>
      </c>
      <c r="J86" s="6">
        <v>2.0</v>
      </c>
      <c r="K86" s="6">
        <v>14.0</v>
      </c>
      <c r="L86" s="6">
        <v>58.0</v>
      </c>
    </row>
    <row r="87">
      <c r="A87" s="6" t="s">
        <v>107</v>
      </c>
      <c r="B87" s="6" t="s">
        <v>45</v>
      </c>
      <c r="C87" s="6">
        <v>300.0</v>
      </c>
      <c r="D87" s="6">
        <v>940.0</v>
      </c>
      <c r="E87" s="6">
        <v>1.2</v>
      </c>
      <c r="F87" s="6">
        <v>89.0</v>
      </c>
      <c r="G87" s="10">
        <v>3.37</v>
      </c>
      <c r="H87" s="6">
        <v>940.0</v>
      </c>
      <c r="I87" s="6">
        <v>0.0</v>
      </c>
      <c r="J87" s="6">
        <v>1.0</v>
      </c>
      <c r="K87" s="6">
        <v>14.0</v>
      </c>
      <c r="L87" s="6">
        <v>74.0</v>
      </c>
    </row>
    <row r="88">
      <c r="A88" s="6" t="s">
        <v>80</v>
      </c>
      <c r="B88" s="6" t="s">
        <v>45</v>
      </c>
      <c r="C88" s="6">
        <v>300.0</v>
      </c>
      <c r="D88" s="6">
        <v>936.0</v>
      </c>
      <c r="E88" s="6">
        <v>1.3</v>
      </c>
      <c r="F88" s="6">
        <v>91.0</v>
      </c>
      <c r="G88" s="10">
        <v>3.3</v>
      </c>
      <c r="H88" s="6">
        <v>936.0</v>
      </c>
      <c r="I88" s="6">
        <v>0.0</v>
      </c>
      <c r="J88" s="6">
        <v>2.0</v>
      </c>
      <c r="K88" s="6">
        <v>15.0</v>
      </c>
      <c r="L88" s="6">
        <v>74.0</v>
      </c>
    </row>
    <row r="89">
      <c r="A89" s="6" t="s">
        <v>151</v>
      </c>
      <c r="B89" s="6" t="s">
        <v>45</v>
      </c>
      <c r="C89" s="6">
        <v>300.0</v>
      </c>
      <c r="D89" s="6">
        <v>903.0</v>
      </c>
      <c r="E89" s="6">
        <v>1.2</v>
      </c>
      <c r="F89" s="6">
        <v>94.0</v>
      </c>
      <c r="G89" s="10">
        <v>3.19</v>
      </c>
      <c r="H89" s="6">
        <v>903.0</v>
      </c>
      <c r="I89" s="6">
        <v>0.0</v>
      </c>
      <c r="J89" s="6">
        <v>2.0</v>
      </c>
      <c r="K89" s="6">
        <v>21.0</v>
      </c>
      <c r="L89" s="6">
        <v>71.0</v>
      </c>
    </row>
    <row r="90">
      <c r="A90" s="6" t="s">
        <v>118</v>
      </c>
      <c r="B90" s="6" t="s">
        <v>45</v>
      </c>
      <c r="C90" s="6">
        <v>300.0</v>
      </c>
      <c r="D90" s="6">
        <v>919.0</v>
      </c>
      <c r="E90" s="6">
        <v>1.2</v>
      </c>
      <c r="F90" s="6">
        <v>90.0</v>
      </c>
      <c r="G90" s="10">
        <v>3.33</v>
      </c>
      <c r="H90" s="6">
        <v>919.0</v>
      </c>
      <c r="I90" s="6">
        <v>0.0</v>
      </c>
      <c r="J90" s="6">
        <v>2.0</v>
      </c>
      <c r="K90" s="6">
        <v>13.0</v>
      </c>
      <c r="L90" s="6">
        <v>75.0</v>
      </c>
    </row>
    <row r="91">
      <c r="A91" s="6" t="s">
        <v>152</v>
      </c>
      <c r="B91" s="6" t="s">
        <v>45</v>
      </c>
      <c r="C91" s="6">
        <v>300.0</v>
      </c>
      <c r="D91" s="6">
        <v>878.0</v>
      </c>
      <c r="E91" s="6">
        <v>1.2</v>
      </c>
      <c r="F91" s="6">
        <v>91.0</v>
      </c>
      <c r="G91" s="10">
        <v>3.3</v>
      </c>
      <c r="H91" s="6">
        <v>878.0</v>
      </c>
      <c r="I91" s="6">
        <v>0.0</v>
      </c>
      <c r="J91" s="6">
        <v>1.0</v>
      </c>
      <c r="K91" s="6">
        <v>15.0</v>
      </c>
      <c r="L91" s="6">
        <v>75.0</v>
      </c>
    </row>
    <row r="92">
      <c r="A92" s="6" t="s">
        <v>99</v>
      </c>
      <c r="B92" s="6" t="s">
        <v>45</v>
      </c>
      <c r="C92" s="6">
        <v>400.0</v>
      </c>
      <c r="D92" s="6">
        <v>1111.0</v>
      </c>
      <c r="E92" s="6">
        <v>2.3</v>
      </c>
      <c r="F92" s="6">
        <v>120.0</v>
      </c>
      <c r="G92" s="10">
        <v>3.33</v>
      </c>
      <c r="H92" s="6">
        <v>1111.0</v>
      </c>
      <c r="I92" s="6">
        <v>0.0</v>
      </c>
      <c r="J92" s="6">
        <v>1.0</v>
      </c>
      <c r="K92" s="6">
        <v>17.0</v>
      </c>
      <c r="L92" s="6">
        <v>102.0</v>
      </c>
    </row>
    <row r="93">
      <c r="A93" s="6" t="s">
        <v>149</v>
      </c>
      <c r="B93" s="6" t="s">
        <v>45</v>
      </c>
      <c r="C93" s="6">
        <v>400.0</v>
      </c>
      <c r="D93" s="6">
        <v>1069.0</v>
      </c>
      <c r="E93" s="6">
        <v>2.3</v>
      </c>
      <c r="F93" s="6">
        <v>121.0</v>
      </c>
      <c r="G93" s="10">
        <v>3.31</v>
      </c>
      <c r="H93" s="6">
        <v>1069.0</v>
      </c>
      <c r="I93" s="6">
        <v>0.0</v>
      </c>
      <c r="J93" s="6">
        <v>0.0</v>
      </c>
      <c r="K93" s="6">
        <v>16.0</v>
      </c>
      <c r="L93" s="6">
        <v>105.0</v>
      </c>
    </row>
    <row r="94">
      <c r="A94" s="6" t="s">
        <v>139</v>
      </c>
      <c r="B94" s="6" t="s">
        <v>45</v>
      </c>
      <c r="C94" s="6">
        <v>400.0</v>
      </c>
      <c r="D94" s="6">
        <v>1108.0</v>
      </c>
      <c r="E94" s="6">
        <v>2.4</v>
      </c>
      <c r="F94" s="6">
        <v>122.0</v>
      </c>
      <c r="G94" s="10">
        <v>3.28</v>
      </c>
      <c r="H94" s="6">
        <v>1108.0</v>
      </c>
      <c r="I94" s="6">
        <v>0.0</v>
      </c>
      <c r="J94" s="6">
        <v>0.0</v>
      </c>
      <c r="K94" s="6">
        <v>15.0</v>
      </c>
      <c r="L94" s="6">
        <v>107.0</v>
      </c>
    </row>
    <row r="95">
      <c r="A95" s="6" t="s">
        <v>113</v>
      </c>
      <c r="B95" s="6" t="s">
        <v>45</v>
      </c>
      <c r="C95" s="6">
        <v>400.0</v>
      </c>
      <c r="D95" s="6">
        <v>1143.0</v>
      </c>
      <c r="E95" s="6">
        <v>2.5</v>
      </c>
      <c r="F95" s="6">
        <v>117.0</v>
      </c>
      <c r="G95" s="10">
        <v>3.42</v>
      </c>
      <c r="H95" s="6">
        <v>1143.0</v>
      </c>
      <c r="I95" s="6">
        <v>0.0</v>
      </c>
      <c r="J95" s="6">
        <v>1.0</v>
      </c>
      <c r="K95" s="6">
        <v>8.0</v>
      </c>
      <c r="L95" s="6">
        <v>108.0</v>
      </c>
    </row>
    <row r="96">
      <c r="A96" s="6" t="s">
        <v>138</v>
      </c>
      <c r="B96" s="6" t="s">
        <v>45</v>
      </c>
      <c r="C96" s="6">
        <v>400.0</v>
      </c>
      <c r="D96" s="6">
        <v>1137.0</v>
      </c>
      <c r="E96" s="6">
        <v>2.3</v>
      </c>
      <c r="F96" s="6">
        <v>119.0</v>
      </c>
      <c r="G96" s="10">
        <v>3.36</v>
      </c>
      <c r="H96" s="6">
        <v>1137.0</v>
      </c>
      <c r="I96" s="6">
        <v>0.0</v>
      </c>
      <c r="J96" s="6">
        <v>1.0</v>
      </c>
      <c r="K96" s="6">
        <v>15.0</v>
      </c>
      <c r="L96" s="6">
        <v>103.0</v>
      </c>
    </row>
    <row r="97">
      <c r="A97" s="6" t="s">
        <v>82</v>
      </c>
      <c r="B97" s="6" t="s">
        <v>45</v>
      </c>
      <c r="C97" s="6">
        <v>500.0</v>
      </c>
      <c r="D97" s="6">
        <v>1312.0</v>
      </c>
      <c r="E97" s="6">
        <v>3.6</v>
      </c>
      <c r="F97" s="6">
        <v>151.0</v>
      </c>
      <c r="G97" s="10">
        <v>3.31</v>
      </c>
      <c r="H97" s="6">
        <v>1312.0</v>
      </c>
      <c r="I97" s="6">
        <v>0.0</v>
      </c>
      <c r="J97" s="6">
        <v>1.0</v>
      </c>
      <c r="K97" s="6">
        <v>12.0</v>
      </c>
      <c r="L97" s="6">
        <v>138.0</v>
      </c>
    </row>
    <row r="98">
      <c r="A98" s="6" t="s">
        <v>142</v>
      </c>
      <c r="B98" s="6" t="s">
        <v>45</v>
      </c>
      <c r="C98" s="6">
        <v>500.0</v>
      </c>
      <c r="D98" s="6">
        <v>1325.0</v>
      </c>
      <c r="E98" s="6">
        <v>4.3</v>
      </c>
      <c r="F98" s="6">
        <v>150.0</v>
      </c>
      <c r="G98" s="10">
        <v>3.33</v>
      </c>
      <c r="H98" s="6">
        <v>1325.0</v>
      </c>
      <c r="I98" s="6">
        <v>0.0</v>
      </c>
      <c r="J98" s="6">
        <v>0.0</v>
      </c>
      <c r="K98" s="6">
        <v>20.0</v>
      </c>
      <c r="L98" s="6">
        <v>130.0</v>
      </c>
    </row>
    <row r="99">
      <c r="A99" s="6" t="s">
        <v>57</v>
      </c>
      <c r="B99" s="6" t="s">
        <v>45</v>
      </c>
      <c r="C99" s="6">
        <v>500.0</v>
      </c>
      <c r="D99" s="6">
        <v>1310.0</v>
      </c>
      <c r="E99" s="6">
        <v>4.1</v>
      </c>
      <c r="F99" s="6">
        <v>153.0</v>
      </c>
      <c r="G99" s="10">
        <v>3.27</v>
      </c>
      <c r="H99" s="6">
        <v>1310.0</v>
      </c>
      <c r="I99" s="6">
        <v>0.0</v>
      </c>
      <c r="J99" s="6">
        <v>0.0</v>
      </c>
      <c r="K99" s="6">
        <v>16.0</v>
      </c>
      <c r="L99" s="6">
        <v>137.0</v>
      </c>
    </row>
    <row r="100">
      <c r="A100" s="6" t="s">
        <v>48</v>
      </c>
      <c r="B100" s="6" t="s">
        <v>45</v>
      </c>
      <c r="C100" s="6">
        <v>500.0</v>
      </c>
      <c r="D100" s="6">
        <v>1325.0</v>
      </c>
      <c r="E100" s="6">
        <v>4.0</v>
      </c>
      <c r="F100" s="6">
        <v>150.0</v>
      </c>
      <c r="G100" s="10">
        <v>3.33</v>
      </c>
      <c r="H100" s="6">
        <v>1325.0</v>
      </c>
      <c r="I100" s="6">
        <v>0.0</v>
      </c>
      <c r="J100" s="6">
        <v>0.0</v>
      </c>
      <c r="K100" s="6">
        <v>16.0</v>
      </c>
      <c r="L100" s="6">
        <v>134.0</v>
      </c>
    </row>
    <row r="101">
      <c r="A101" s="6" t="s">
        <v>78</v>
      </c>
      <c r="B101" s="6" t="s">
        <v>45</v>
      </c>
      <c r="C101" s="6">
        <v>500.0</v>
      </c>
      <c r="D101" s="6">
        <v>1291.0</v>
      </c>
      <c r="E101" s="6">
        <v>4.0</v>
      </c>
      <c r="F101" s="6">
        <v>155.0</v>
      </c>
      <c r="G101" s="10">
        <v>3.23</v>
      </c>
      <c r="H101" s="6">
        <v>1291.0</v>
      </c>
      <c r="I101" s="6">
        <v>0.0</v>
      </c>
      <c r="J101" s="6">
        <v>0.0</v>
      </c>
      <c r="K101" s="6">
        <v>22.0</v>
      </c>
      <c r="L101" s="6">
        <v>133.0</v>
      </c>
    </row>
    <row r="102">
      <c r="A102" s="6" t="s">
        <v>90</v>
      </c>
      <c r="B102" s="6" t="s">
        <v>45</v>
      </c>
      <c r="C102" s="6">
        <v>750.0</v>
      </c>
      <c r="D102" s="6">
        <v>1825.0</v>
      </c>
      <c r="E102" s="6">
        <v>9.5</v>
      </c>
      <c r="F102" s="6">
        <v>226.0</v>
      </c>
      <c r="G102" s="10">
        <v>3.32</v>
      </c>
      <c r="H102" s="6">
        <v>1825.0</v>
      </c>
      <c r="I102" s="6">
        <v>0.0</v>
      </c>
      <c r="J102" s="6">
        <v>0.0</v>
      </c>
      <c r="K102" s="6">
        <v>13.0</v>
      </c>
      <c r="L102" s="6">
        <v>213.0</v>
      </c>
    </row>
    <row r="103">
      <c r="A103" s="6" t="s">
        <v>127</v>
      </c>
      <c r="B103" s="6" t="s">
        <v>45</v>
      </c>
      <c r="C103" s="6">
        <v>750.0</v>
      </c>
      <c r="D103" s="6">
        <v>1810.0</v>
      </c>
      <c r="E103" s="6">
        <v>9.0</v>
      </c>
      <c r="F103" s="6">
        <v>229.0</v>
      </c>
      <c r="G103" s="10">
        <v>3.28</v>
      </c>
      <c r="H103" s="6">
        <v>1810.0</v>
      </c>
      <c r="I103" s="6">
        <v>0.0</v>
      </c>
      <c r="J103" s="6">
        <v>1.0</v>
      </c>
      <c r="K103" s="6">
        <v>25.0</v>
      </c>
      <c r="L103" s="6">
        <v>203.0</v>
      </c>
    </row>
    <row r="104">
      <c r="A104" s="6" t="s">
        <v>81</v>
      </c>
      <c r="B104" s="6" t="s">
        <v>45</v>
      </c>
      <c r="C104" s="6">
        <v>750.0</v>
      </c>
      <c r="D104" s="6">
        <v>1841.0</v>
      </c>
      <c r="E104" s="6">
        <v>9.7</v>
      </c>
      <c r="F104" s="6">
        <v>223.0</v>
      </c>
      <c r="G104" s="10">
        <v>3.36</v>
      </c>
      <c r="H104" s="6">
        <v>1841.0</v>
      </c>
      <c r="I104" s="6">
        <v>0.0</v>
      </c>
      <c r="J104" s="6">
        <v>0.0</v>
      </c>
      <c r="K104" s="6">
        <v>16.0</v>
      </c>
      <c r="L104" s="6">
        <v>207.0</v>
      </c>
    </row>
    <row r="105">
      <c r="A105" s="6" t="s">
        <v>154</v>
      </c>
      <c r="B105" s="6" t="s">
        <v>45</v>
      </c>
      <c r="C105" s="6">
        <v>750.0</v>
      </c>
      <c r="D105" s="6">
        <v>1891.0</v>
      </c>
      <c r="E105" s="6">
        <v>10.0</v>
      </c>
      <c r="F105" s="6">
        <v>223.0</v>
      </c>
      <c r="G105" s="10">
        <v>3.36</v>
      </c>
      <c r="H105" s="6">
        <v>1891.0</v>
      </c>
      <c r="I105" s="6">
        <v>0.0</v>
      </c>
      <c r="J105" s="6">
        <v>0.0</v>
      </c>
      <c r="K105" s="6">
        <v>13.0</v>
      </c>
      <c r="L105" s="6">
        <v>210.0</v>
      </c>
    </row>
    <row r="106">
      <c r="A106" s="6" t="s">
        <v>129</v>
      </c>
      <c r="B106" s="6" t="s">
        <v>45</v>
      </c>
      <c r="C106" s="6">
        <v>750.0</v>
      </c>
      <c r="D106" s="6">
        <v>1863.0</v>
      </c>
      <c r="E106" s="6">
        <v>9.6</v>
      </c>
      <c r="F106" s="6">
        <v>225.0</v>
      </c>
      <c r="G106" s="10">
        <v>3.33</v>
      </c>
      <c r="H106" s="6">
        <v>1863.0</v>
      </c>
      <c r="I106" s="6">
        <v>0.0</v>
      </c>
      <c r="J106" s="6">
        <v>0.0</v>
      </c>
      <c r="K106" s="6">
        <v>16.0</v>
      </c>
      <c r="L106" s="6">
        <v>209.0</v>
      </c>
    </row>
    <row r="107">
      <c r="A107" s="6" t="s">
        <v>83</v>
      </c>
      <c r="B107" s="6" t="s">
        <v>45</v>
      </c>
      <c r="C107" s="6">
        <v>1000.0</v>
      </c>
      <c r="D107" s="6">
        <v>2322.0</v>
      </c>
      <c r="E107" s="6">
        <v>16.9</v>
      </c>
      <c r="F107" s="6">
        <v>304.0</v>
      </c>
      <c r="G107" s="10">
        <v>3.29</v>
      </c>
      <c r="H107" s="6">
        <v>2322.0</v>
      </c>
      <c r="I107" s="6">
        <v>0.0</v>
      </c>
      <c r="J107" s="6">
        <v>0.0</v>
      </c>
      <c r="K107" s="6">
        <v>24.0</v>
      </c>
      <c r="L107" s="6">
        <v>280.0</v>
      </c>
    </row>
    <row r="108">
      <c r="A108" s="6" t="s">
        <v>144</v>
      </c>
      <c r="B108" s="6" t="s">
        <v>45</v>
      </c>
      <c r="C108" s="6">
        <v>1000.0</v>
      </c>
      <c r="D108" s="6">
        <v>2343.0</v>
      </c>
      <c r="E108" s="6">
        <v>16.7</v>
      </c>
      <c r="F108" s="6">
        <v>302.0</v>
      </c>
      <c r="G108" s="10">
        <v>3.31</v>
      </c>
      <c r="H108" s="6">
        <v>2343.0</v>
      </c>
      <c r="I108" s="6">
        <v>0.0</v>
      </c>
      <c r="J108" s="6">
        <v>1.0</v>
      </c>
      <c r="K108" s="6">
        <v>13.0</v>
      </c>
      <c r="L108" s="6">
        <v>288.0</v>
      </c>
    </row>
    <row r="109">
      <c r="A109" s="6" t="s">
        <v>63</v>
      </c>
      <c r="B109" s="6" t="s">
        <v>45</v>
      </c>
      <c r="C109" s="6">
        <v>1000.0</v>
      </c>
      <c r="D109" s="6">
        <v>2356.0</v>
      </c>
      <c r="E109" s="6">
        <v>18.7</v>
      </c>
      <c r="F109" s="6">
        <v>305.0</v>
      </c>
      <c r="G109" s="10">
        <v>3.28</v>
      </c>
      <c r="H109" s="6">
        <v>2356.0</v>
      </c>
      <c r="I109" s="6">
        <v>0.0</v>
      </c>
      <c r="J109" s="6">
        <v>1.0</v>
      </c>
      <c r="K109" s="6">
        <v>26.0</v>
      </c>
      <c r="L109" s="6">
        <v>278.0</v>
      </c>
    </row>
    <row r="110">
      <c r="A110" s="6" t="s">
        <v>79</v>
      </c>
      <c r="B110" s="6" t="s">
        <v>45</v>
      </c>
      <c r="C110" s="6">
        <v>1000.0</v>
      </c>
      <c r="D110" s="6">
        <v>2305.0</v>
      </c>
      <c r="E110" s="6">
        <v>17.7</v>
      </c>
      <c r="F110" s="6">
        <v>305.0</v>
      </c>
      <c r="G110" s="10">
        <v>3.28</v>
      </c>
      <c r="H110" s="6">
        <v>2305.0</v>
      </c>
      <c r="I110" s="6">
        <v>0.0</v>
      </c>
      <c r="J110" s="6">
        <v>0.0</v>
      </c>
      <c r="K110" s="6">
        <v>23.0</v>
      </c>
      <c r="L110" s="6">
        <v>282.0</v>
      </c>
    </row>
    <row r="111">
      <c r="A111" s="6" t="s">
        <v>64</v>
      </c>
      <c r="B111" s="6" t="s">
        <v>45</v>
      </c>
      <c r="C111" s="6">
        <v>1000.0</v>
      </c>
      <c r="D111" s="6">
        <v>2319.0</v>
      </c>
      <c r="E111" s="6">
        <v>16.7</v>
      </c>
      <c r="F111" s="6">
        <v>300.0</v>
      </c>
      <c r="G111" s="10">
        <v>3.33</v>
      </c>
      <c r="H111" s="6">
        <v>2319.0</v>
      </c>
      <c r="I111" s="6">
        <v>0.0</v>
      </c>
      <c r="J111" s="6">
        <v>0.0</v>
      </c>
      <c r="K111" s="6">
        <v>24.0</v>
      </c>
      <c r="L111" s="6">
        <v>276.0</v>
      </c>
    </row>
  </sheetData>
  <autoFilter ref="$A$1:$L$11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63"/>
    <col customWidth="1" min="3" max="3" width="18.25"/>
    <col customWidth="1" min="4" max="5" width="12.63"/>
    <col customWidth="1" min="6" max="6" width="19.75"/>
    <col customWidth="1" min="7" max="7" width="15.63"/>
    <col customWidth="1" min="8" max="8" width="16.88"/>
    <col customWidth="1" min="9" max="9" width="20.25"/>
    <col customWidth="1" min="10" max="12" width="12.63"/>
  </cols>
  <sheetData>
    <row r="1">
      <c r="A1" s="7" t="s">
        <v>38</v>
      </c>
      <c r="B1" s="7" t="s">
        <v>39</v>
      </c>
      <c r="C1" s="7" t="s">
        <v>40</v>
      </c>
      <c r="D1" s="7" t="s">
        <v>155</v>
      </c>
      <c r="E1" s="7" t="s">
        <v>156</v>
      </c>
      <c r="F1" s="7" t="s">
        <v>157</v>
      </c>
      <c r="G1" s="7" t="s">
        <v>158</v>
      </c>
      <c r="H1" s="7" t="s">
        <v>159</v>
      </c>
      <c r="I1" s="7" t="s">
        <v>160</v>
      </c>
      <c r="J1" s="7" t="s">
        <v>161</v>
      </c>
      <c r="K1" s="7" t="s">
        <v>162</v>
      </c>
      <c r="L1" s="7" t="s">
        <v>163</v>
      </c>
    </row>
    <row r="2">
      <c r="A2" s="6" t="s">
        <v>93</v>
      </c>
      <c r="B2" s="6" t="s">
        <v>53</v>
      </c>
      <c r="C2" s="6">
        <v>10.0</v>
      </c>
      <c r="D2" s="6">
        <v>185.0</v>
      </c>
      <c r="E2" s="6">
        <v>0.0</v>
      </c>
      <c r="F2" s="6">
        <v>3.0</v>
      </c>
      <c r="G2" s="10">
        <f t="shared" ref="G2:G111" si="1">C2/F2</f>
        <v>3.333333333</v>
      </c>
      <c r="H2" s="6">
        <v>70.0</v>
      </c>
      <c r="I2" s="6">
        <v>0.0</v>
      </c>
      <c r="J2" s="6">
        <v>1.0</v>
      </c>
      <c r="K2" s="6">
        <v>1.0</v>
      </c>
      <c r="L2" s="6">
        <v>1.0</v>
      </c>
    </row>
    <row r="3">
      <c r="A3" s="6" t="s">
        <v>36</v>
      </c>
      <c r="B3" s="6" t="s">
        <v>53</v>
      </c>
      <c r="C3" s="6">
        <v>10.0</v>
      </c>
      <c r="D3" s="6">
        <v>159.0</v>
      </c>
      <c r="E3" s="6">
        <v>0.0</v>
      </c>
      <c r="F3" s="6">
        <v>3.0</v>
      </c>
      <c r="G3" s="10">
        <f t="shared" si="1"/>
        <v>3.333333333</v>
      </c>
      <c r="H3" s="6">
        <v>119.0</v>
      </c>
      <c r="I3" s="6">
        <v>0.0</v>
      </c>
      <c r="J3" s="6">
        <v>2.0</v>
      </c>
      <c r="K3" s="6">
        <v>1.0</v>
      </c>
      <c r="L3" s="6">
        <v>0.0</v>
      </c>
    </row>
    <row r="4">
      <c r="A4" s="6" t="s">
        <v>55</v>
      </c>
      <c r="B4" s="6" t="s">
        <v>53</v>
      </c>
      <c r="C4" s="6">
        <v>15.0</v>
      </c>
      <c r="D4" s="6">
        <v>378.0</v>
      </c>
      <c r="E4" s="6">
        <v>0.1</v>
      </c>
      <c r="F4" s="6">
        <v>5.0</v>
      </c>
      <c r="G4" s="10">
        <f t="shared" si="1"/>
        <v>3</v>
      </c>
      <c r="H4" s="6">
        <v>158.0</v>
      </c>
      <c r="I4" s="6">
        <v>0.0</v>
      </c>
      <c r="J4" s="6">
        <v>3.0</v>
      </c>
      <c r="K4" s="6">
        <v>2.0</v>
      </c>
      <c r="L4" s="6">
        <v>0.0</v>
      </c>
    </row>
    <row r="5">
      <c r="A5" s="6" t="s">
        <v>141</v>
      </c>
      <c r="B5" s="6" t="s">
        <v>53</v>
      </c>
      <c r="C5" s="6">
        <v>15.0</v>
      </c>
      <c r="D5" s="6">
        <v>247.0</v>
      </c>
      <c r="E5" s="6">
        <v>0.1</v>
      </c>
      <c r="F5" s="6">
        <v>4.0</v>
      </c>
      <c r="G5" s="10">
        <f t="shared" si="1"/>
        <v>3.75</v>
      </c>
      <c r="H5" s="6">
        <v>107.0</v>
      </c>
      <c r="I5" s="6">
        <v>0.0</v>
      </c>
      <c r="J5" s="6">
        <v>2.0</v>
      </c>
      <c r="K5" s="6">
        <v>1.0</v>
      </c>
      <c r="L5" s="6">
        <v>1.0</v>
      </c>
    </row>
    <row r="6">
      <c r="A6" s="6" t="s">
        <v>109</v>
      </c>
      <c r="B6" s="6" t="s">
        <v>53</v>
      </c>
      <c r="C6" s="6">
        <v>20.0</v>
      </c>
      <c r="D6" s="6">
        <v>419.0</v>
      </c>
      <c r="E6" s="6">
        <v>0.1</v>
      </c>
      <c r="F6" s="6">
        <v>6.0</v>
      </c>
      <c r="G6" s="10">
        <f t="shared" si="1"/>
        <v>3.333333333</v>
      </c>
      <c r="H6" s="6">
        <v>179.0</v>
      </c>
      <c r="I6" s="6">
        <v>0.0</v>
      </c>
      <c r="J6" s="6">
        <v>2.0</v>
      </c>
      <c r="K6" s="6">
        <v>2.0</v>
      </c>
      <c r="L6" s="6">
        <v>2.0</v>
      </c>
    </row>
    <row r="7">
      <c r="A7" s="6" t="s">
        <v>85</v>
      </c>
      <c r="B7" s="6" t="s">
        <v>53</v>
      </c>
      <c r="C7" s="6">
        <v>20.0</v>
      </c>
      <c r="D7" s="6">
        <v>363.0</v>
      </c>
      <c r="E7" s="6">
        <v>0.1</v>
      </c>
      <c r="F7" s="6">
        <v>7.0</v>
      </c>
      <c r="G7" s="10">
        <f t="shared" si="1"/>
        <v>2.857142857</v>
      </c>
      <c r="H7" s="6">
        <v>168.0</v>
      </c>
      <c r="I7" s="6">
        <v>0.0</v>
      </c>
      <c r="J7" s="6">
        <v>4.0</v>
      </c>
      <c r="K7" s="6">
        <v>3.0</v>
      </c>
      <c r="L7" s="6">
        <v>0.0</v>
      </c>
    </row>
    <row r="8">
      <c r="A8" s="6" t="s">
        <v>105</v>
      </c>
      <c r="B8" s="6" t="s">
        <v>53</v>
      </c>
      <c r="C8" s="6">
        <v>25.0</v>
      </c>
      <c r="D8" s="6">
        <v>467.0</v>
      </c>
      <c r="E8" s="6">
        <v>0.2</v>
      </c>
      <c r="F8" s="6">
        <v>10.0</v>
      </c>
      <c r="G8" s="10">
        <f t="shared" si="1"/>
        <v>2.5</v>
      </c>
      <c r="H8" s="6">
        <v>217.0</v>
      </c>
      <c r="I8" s="6">
        <v>0.0</v>
      </c>
      <c r="J8" s="6">
        <v>7.0</v>
      </c>
      <c r="K8" s="6">
        <v>2.0</v>
      </c>
      <c r="L8" s="6">
        <v>1.0</v>
      </c>
    </row>
    <row r="9">
      <c r="A9" s="6" t="s">
        <v>126</v>
      </c>
      <c r="B9" s="6" t="s">
        <v>53</v>
      </c>
      <c r="C9" s="6">
        <v>30.0</v>
      </c>
      <c r="D9" s="6">
        <v>513.0</v>
      </c>
      <c r="E9" s="6">
        <v>0.2</v>
      </c>
      <c r="F9" s="6">
        <v>10.0</v>
      </c>
      <c r="G9" s="10">
        <f t="shared" si="1"/>
        <v>3</v>
      </c>
      <c r="H9" s="6">
        <v>283.0</v>
      </c>
      <c r="I9" s="6">
        <v>0.0</v>
      </c>
      <c r="J9" s="6">
        <v>6.0</v>
      </c>
      <c r="K9" s="6">
        <v>3.0</v>
      </c>
      <c r="L9" s="6">
        <v>1.0</v>
      </c>
    </row>
    <row r="10">
      <c r="A10" s="6" t="s">
        <v>65</v>
      </c>
      <c r="B10" s="6" t="s">
        <v>53</v>
      </c>
      <c r="C10" s="6">
        <v>30.0</v>
      </c>
      <c r="D10" s="6">
        <v>757.0</v>
      </c>
      <c r="E10" s="6">
        <v>0.2</v>
      </c>
      <c r="F10" s="6">
        <v>10.0</v>
      </c>
      <c r="G10" s="10">
        <f t="shared" si="1"/>
        <v>3</v>
      </c>
      <c r="H10" s="6">
        <v>232.0</v>
      </c>
      <c r="I10" s="6">
        <v>0.0</v>
      </c>
      <c r="J10" s="6">
        <v>5.0</v>
      </c>
      <c r="K10" s="6">
        <v>3.0</v>
      </c>
      <c r="L10" s="6">
        <v>2.0</v>
      </c>
    </row>
    <row r="11">
      <c r="A11" s="6" t="s">
        <v>114</v>
      </c>
      <c r="B11" s="6" t="s">
        <v>53</v>
      </c>
      <c r="C11" s="6">
        <v>40.0</v>
      </c>
      <c r="D11" s="6">
        <v>881.0</v>
      </c>
      <c r="E11" s="6">
        <v>0.4</v>
      </c>
      <c r="F11" s="6">
        <v>13.0</v>
      </c>
      <c r="G11" s="10">
        <f t="shared" si="1"/>
        <v>3.076923077</v>
      </c>
      <c r="H11" s="6">
        <v>256.0</v>
      </c>
      <c r="I11" s="6">
        <v>0.0</v>
      </c>
      <c r="J11" s="6">
        <v>6.0</v>
      </c>
      <c r="K11" s="6">
        <v>4.0</v>
      </c>
      <c r="L11" s="6">
        <v>3.0</v>
      </c>
    </row>
    <row r="12">
      <c r="A12" s="6" t="s">
        <v>69</v>
      </c>
      <c r="B12" s="6" t="s">
        <v>53</v>
      </c>
      <c r="C12" s="6">
        <v>50.0</v>
      </c>
      <c r="D12" s="6">
        <v>1105.0</v>
      </c>
      <c r="E12" s="6">
        <v>0.6</v>
      </c>
      <c r="F12" s="6">
        <v>16.0</v>
      </c>
      <c r="G12" s="10">
        <f t="shared" si="1"/>
        <v>3.125</v>
      </c>
      <c r="H12" s="6">
        <v>445.0</v>
      </c>
      <c r="I12" s="6">
        <v>0.0</v>
      </c>
      <c r="J12" s="6">
        <v>9.0</v>
      </c>
      <c r="K12" s="6">
        <v>5.0</v>
      </c>
      <c r="L12" s="6">
        <v>2.0</v>
      </c>
    </row>
    <row r="13">
      <c r="A13" s="6" t="s">
        <v>150</v>
      </c>
      <c r="B13" s="6" t="s">
        <v>53</v>
      </c>
      <c r="C13" s="6">
        <v>50.0</v>
      </c>
      <c r="D13" s="6">
        <v>1302.0</v>
      </c>
      <c r="E13" s="6">
        <v>0.5</v>
      </c>
      <c r="F13" s="6">
        <v>14.0</v>
      </c>
      <c r="G13" s="10">
        <f t="shared" si="1"/>
        <v>3.571428571</v>
      </c>
      <c r="H13" s="6">
        <v>452.0</v>
      </c>
      <c r="I13" s="6">
        <v>0.0</v>
      </c>
      <c r="J13" s="6">
        <v>6.0</v>
      </c>
      <c r="K13" s="6">
        <v>4.0</v>
      </c>
      <c r="L13" s="6">
        <v>4.0</v>
      </c>
    </row>
    <row r="14">
      <c r="A14" s="6" t="s">
        <v>123</v>
      </c>
      <c r="B14" s="6" t="s">
        <v>53</v>
      </c>
      <c r="C14" s="6">
        <v>75.0</v>
      </c>
      <c r="D14" s="6">
        <v>1327.0</v>
      </c>
      <c r="E14" s="6">
        <v>1.3</v>
      </c>
      <c r="F14" s="6">
        <v>23.0</v>
      </c>
      <c r="G14" s="10">
        <f t="shared" si="1"/>
        <v>3.260869565</v>
      </c>
      <c r="H14" s="6">
        <v>582.0</v>
      </c>
      <c r="I14" s="6">
        <v>0.0</v>
      </c>
      <c r="J14" s="6">
        <v>10.0</v>
      </c>
      <c r="K14" s="6">
        <v>6.0</v>
      </c>
      <c r="L14" s="6">
        <v>7.0</v>
      </c>
    </row>
    <row r="15">
      <c r="A15" s="6" t="s">
        <v>61</v>
      </c>
      <c r="B15" s="6" t="s">
        <v>53</v>
      </c>
      <c r="C15" s="6">
        <v>100.0</v>
      </c>
      <c r="D15" s="6">
        <v>1196.0</v>
      </c>
      <c r="E15" s="6">
        <v>2.2</v>
      </c>
      <c r="F15" s="6">
        <v>32.0</v>
      </c>
      <c r="G15" s="10">
        <f t="shared" si="1"/>
        <v>3.125</v>
      </c>
      <c r="H15" s="6">
        <v>841.0</v>
      </c>
      <c r="I15" s="6">
        <v>0.0</v>
      </c>
      <c r="J15" s="6">
        <v>21.0</v>
      </c>
      <c r="K15" s="6">
        <v>6.0</v>
      </c>
      <c r="L15" s="6">
        <v>5.0</v>
      </c>
    </row>
    <row r="16">
      <c r="A16" s="6" t="s">
        <v>100</v>
      </c>
      <c r="B16" s="6" t="s">
        <v>53</v>
      </c>
      <c r="C16" s="6">
        <v>100.0</v>
      </c>
      <c r="D16" s="6">
        <v>1624.0</v>
      </c>
      <c r="E16" s="6">
        <v>2.2</v>
      </c>
      <c r="F16" s="6">
        <v>32.0</v>
      </c>
      <c r="G16" s="10">
        <f t="shared" si="1"/>
        <v>3.125</v>
      </c>
      <c r="H16" s="6">
        <v>754.0</v>
      </c>
      <c r="I16" s="6">
        <v>0.0</v>
      </c>
      <c r="J16" s="6">
        <v>18.0</v>
      </c>
      <c r="K16" s="6">
        <v>5.0</v>
      </c>
      <c r="L16" s="6">
        <v>9.0</v>
      </c>
    </row>
    <row r="17">
      <c r="A17" s="6" t="s">
        <v>94</v>
      </c>
      <c r="B17" s="6" t="s">
        <v>53</v>
      </c>
      <c r="C17" s="6">
        <v>150.0</v>
      </c>
      <c r="D17" s="6">
        <v>1802.0</v>
      </c>
      <c r="E17" s="6">
        <v>4.9</v>
      </c>
      <c r="F17" s="6">
        <v>47.0</v>
      </c>
      <c r="G17" s="10">
        <f t="shared" si="1"/>
        <v>3.191489362</v>
      </c>
      <c r="H17" s="6">
        <v>1292.0</v>
      </c>
      <c r="I17" s="6">
        <v>0.0</v>
      </c>
      <c r="J17" s="6">
        <v>27.0</v>
      </c>
      <c r="K17" s="6">
        <v>12.0</v>
      </c>
      <c r="L17" s="6">
        <v>8.0</v>
      </c>
    </row>
    <row r="18">
      <c r="A18" s="6" t="s">
        <v>132</v>
      </c>
      <c r="B18" s="6" t="s">
        <v>53</v>
      </c>
      <c r="C18" s="6">
        <v>208.0</v>
      </c>
      <c r="D18" s="6">
        <v>2213.0</v>
      </c>
      <c r="E18" s="6">
        <v>9.3</v>
      </c>
      <c r="F18" s="6">
        <v>63.0</v>
      </c>
      <c r="G18" s="10">
        <f t="shared" si="1"/>
        <v>3.301587302</v>
      </c>
      <c r="H18" s="6">
        <v>1748.0</v>
      </c>
      <c r="I18" s="6">
        <v>1.0</v>
      </c>
      <c r="J18" s="6">
        <v>39.0</v>
      </c>
      <c r="K18" s="6">
        <v>9.0</v>
      </c>
      <c r="L18" s="6">
        <v>15.0</v>
      </c>
    </row>
    <row r="19">
      <c r="A19" s="6" t="s">
        <v>110</v>
      </c>
      <c r="B19" s="6" t="s">
        <v>53</v>
      </c>
      <c r="C19" s="6">
        <v>208.0</v>
      </c>
      <c r="D19" s="6">
        <v>2697.0</v>
      </c>
      <c r="E19" s="6">
        <v>9.4</v>
      </c>
      <c r="F19" s="6">
        <v>62.0</v>
      </c>
      <c r="G19" s="10">
        <f t="shared" si="1"/>
        <v>3.35483871</v>
      </c>
      <c r="H19" s="6">
        <v>1632.0</v>
      </c>
      <c r="I19" s="6">
        <v>0.0</v>
      </c>
      <c r="J19" s="6">
        <v>27.0</v>
      </c>
      <c r="K19" s="6">
        <v>18.0</v>
      </c>
      <c r="L19" s="6">
        <v>17.0</v>
      </c>
    </row>
    <row r="20">
      <c r="A20" s="6" t="s">
        <v>52</v>
      </c>
      <c r="B20" s="6" t="s">
        <v>53</v>
      </c>
      <c r="C20" s="6">
        <v>300.0</v>
      </c>
      <c r="D20" s="6">
        <v>2981.0</v>
      </c>
      <c r="E20" s="6">
        <v>21.3</v>
      </c>
      <c r="F20" s="6">
        <v>100.0</v>
      </c>
      <c r="G20" s="10">
        <f t="shared" si="1"/>
        <v>3</v>
      </c>
      <c r="H20" s="6">
        <v>2151.0</v>
      </c>
      <c r="I20" s="6">
        <v>0.0</v>
      </c>
      <c r="J20" s="6">
        <v>55.0</v>
      </c>
      <c r="K20" s="6">
        <v>19.0</v>
      </c>
      <c r="L20" s="6">
        <v>26.0</v>
      </c>
    </row>
    <row r="21">
      <c r="A21" s="11" t="s">
        <v>86</v>
      </c>
      <c r="B21" s="11" t="s">
        <v>53</v>
      </c>
      <c r="C21" s="11">
        <v>500.0</v>
      </c>
      <c r="D21" s="11">
        <v>4065.0</v>
      </c>
      <c r="E21" s="11">
        <v>64.2</v>
      </c>
      <c r="F21" s="11">
        <v>167.0</v>
      </c>
      <c r="G21" s="10">
        <f t="shared" si="1"/>
        <v>2.994011976</v>
      </c>
      <c r="H21" s="11">
        <v>3290.0</v>
      </c>
      <c r="I21" s="11">
        <v>0.0</v>
      </c>
      <c r="J21" s="11">
        <v>88.0</v>
      </c>
      <c r="K21" s="11">
        <v>28.0</v>
      </c>
      <c r="L21" s="11">
        <v>51.0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6" t="s">
        <v>125</v>
      </c>
      <c r="B22" s="6" t="s">
        <v>45</v>
      </c>
      <c r="C22" s="6">
        <v>10.0</v>
      </c>
      <c r="D22" s="6">
        <v>13.0</v>
      </c>
      <c r="E22" s="6">
        <v>0.0</v>
      </c>
      <c r="F22" s="6">
        <v>4.0</v>
      </c>
      <c r="G22" s="10">
        <f t="shared" si="1"/>
        <v>2.5</v>
      </c>
      <c r="H22" s="6">
        <v>13.0</v>
      </c>
      <c r="I22" s="6">
        <v>0.0</v>
      </c>
      <c r="J22" s="6">
        <v>0.0</v>
      </c>
      <c r="K22" s="6">
        <v>0.0</v>
      </c>
      <c r="L22" s="6">
        <v>4.0</v>
      </c>
    </row>
    <row r="23">
      <c r="A23" s="6" t="s">
        <v>111</v>
      </c>
      <c r="B23" s="6" t="s">
        <v>45</v>
      </c>
      <c r="C23" s="6">
        <v>10.0</v>
      </c>
      <c r="D23" s="6">
        <v>12.0</v>
      </c>
      <c r="E23" s="6">
        <v>0.0</v>
      </c>
      <c r="F23" s="6">
        <v>4.0</v>
      </c>
      <c r="G23" s="10">
        <f t="shared" si="1"/>
        <v>2.5</v>
      </c>
      <c r="H23" s="6">
        <v>12.0</v>
      </c>
      <c r="I23" s="6">
        <v>0.0</v>
      </c>
      <c r="J23" s="6">
        <v>0.0</v>
      </c>
      <c r="K23" s="6">
        <v>0.0</v>
      </c>
      <c r="L23" s="6">
        <v>4.0</v>
      </c>
    </row>
    <row r="24">
      <c r="A24" s="6" t="s">
        <v>133</v>
      </c>
      <c r="B24" s="6" t="s">
        <v>45</v>
      </c>
      <c r="C24" s="6">
        <v>10.0</v>
      </c>
      <c r="D24" s="6">
        <v>13.0</v>
      </c>
      <c r="E24" s="6">
        <v>0.0</v>
      </c>
      <c r="F24" s="6">
        <v>4.0</v>
      </c>
      <c r="G24" s="10">
        <f t="shared" si="1"/>
        <v>2.5</v>
      </c>
      <c r="H24" s="6">
        <v>13.0</v>
      </c>
      <c r="I24" s="6">
        <v>0.0</v>
      </c>
      <c r="J24" s="6">
        <v>0.0</v>
      </c>
      <c r="K24" s="6">
        <v>0.0</v>
      </c>
      <c r="L24" s="6">
        <v>4.0</v>
      </c>
    </row>
    <row r="25">
      <c r="A25" s="6" t="s">
        <v>124</v>
      </c>
      <c r="B25" s="6" t="s">
        <v>45</v>
      </c>
      <c r="C25" s="6">
        <v>10.0</v>
      </c>
      <c r="D25" s="6">
        <v>13.0</v>
      </c>
      <c r="E25" s="6">
        <v>0.0</v>
      </c>
      <c r="F25" s="6">
        <v>4.0</v>
      </c>
      <c r="G25" s="10">
        <f t="shared" si="1"/>
        <v>2.5</v>
      </c>
      <c r="H25" s="6">
        <v>13.0</v>
      </c>
      <c r="I25" s="6">
        <v>0.0</v>
      </c>
      <c r="J25" s="6">
        <v>0.0</v>
      </c>
      <c r="K25" s="6">
        <v>1.0</v>
      </c>
      <c r="L25" s="6">
        <v>3.0</v>
      </c>
    </row>
    <row r="26">
      <c r="A26" s="6" t="s">
        <v>49</v>
      </c>
      <c r="B26" s="6" t="s">
        <v>45</v>
      </c>
      <c r="C26" s="6">
        <v>10.0</v>
      </c>
      <c r="D26" s="6">
        <v>20.0</v>
      </c>
      <c r="E26" s="6">
        <v>0.0</v>
      </c>
      <c r="F26" s="6">
        <v>4.0</v>
      </c>
      <c r="G26" s="10">
        <f t="shared" si="1"/>
        <v>2.5</v>
      </c>
      <c r="H26" s="6">
        <v>20.0</v>
      </c>
      <c r="I26" s="6">
        <v>0.0</v>
      </c>
      <c r="J26" s="6">
        <v>0.0</v>
      </c>
      <c r="K26" s="6">
        <v>0.0</v>
      </c>
      <c r="L26" s="6">
        <v>4.0</v>
      </c>
    </row>
    <row r="27">
      <c r="A27" s="6" t="s">
        <v>130</v>
      </c>
      <c r="B27" s="6" t="s">
        <v>45</v>
      </c>
      <c r="C27" s="6">
        <v>15.0</v>
      </c>
      <c r="D27" s="6">
        <v>20.0</v>
      </c>
      <c r="E27" s="6">
        <v>0.1</v>
      </c>
      <c r="F27" s="6">
        <v>5.0</v>
      </c>
      <c r="G27" s="10">
        <f t="shared" si="1"/>
        <v>3</v>
      </c>
      <c r="H27" s="6">
        <v>20.0</v>
      </c>
      <c r="I27" s="6">
        <v>0.0</v>
      </c>
      <c r="J27" s="6">
        <v>0.0</v>
      </c>
      <c r="K27" s="6">
        <v>1.0</v>
      </c>
      <c r="L27" s="6">
        <v>4.0</v>
      </c>
    </row>
    <row r="28">
      <c r="A28" s="6" t="s">
        <v>140</v>
      </c>
      <c r="B28" s="6" t="s">
        <v>45</v>
      </c>
      <c r="C28" s="6">
        <v>15.0</v>
      </c>
      <c r="D28" s="6">
        <v>18.0</v>
      </c>
      <c r="E28" s="6">
        <v>0.1</v>
      </c>
      <c r="F28" s="6">
        <v>5.0</v>
      </c>
      <c r="G28" s="10">
        <f t="shared" si="1"/>
        <v>3</v>
      </c>
      <c r="H28" s="6">
        <v>18.0</v>
      </c>
      <c r="I28" s="6">
        <v>0.0</v>
      </c>
      <c r="J28" s="6">
        <v>0.0</v>
      </c>
      <c r="K28" s="6">
        <v>0.0</v>
      </c>
      <c r="L28" s="6">
        <v>5.0</v>
      </c>
    </row>
    <row r="29">
      <c r="A29" s="6" t="s">
        <v>60</v>
      </c>
      <c r="B29" s="6" t="s">
        <v>45</v>
      </c>
      <c r="C29" s="6">
        <v>15.0</v>
      </c>
      <c r="D29" s="6">
        <v>19.0</v>
      </c>
      <c r="E29" s="6">
        <v>0.1</v>
      </c>
      <c r="F29" s="6">
        <v>5.0</v>
      </c>
      <c r="G29" s="10">
        <f t="shared" si="1"/>
        <v>3</v>
      </c>
      <c r="H29" s="6">
        <v>19.0</v>
      </c>
      <c r="I29" s="6">
        <v>0.0</v>
      </c>
      <c r="J29" s="6">
        <v>0.0</v>
      </c>
      <c r="K29" s="6">
        <v>0.0</v>
      </c>
      <c r="L29" s="6">
        <v>5.0</v>
      </c>
    </row>
    <row r="30">
      <c r="A30" s="6" t="s">
        <v>59</v>
      </c>
      <c r="B30" s="6" t="s">
        <v>45</v>
      </c>
      <c r="C30" s="6">
        <v>15.0</v>
      </c>
      <c r="D30" s="6">
        <v>23.0</v>
      </c>
      <c r="E30" s="6">
        <v>0.1</v>
      </c>
      <c r="F30" s="6">
        <v>5.0</v>
      </c>
      <c r="G30" s="10">
        <f t="shared" si="1"/>
        <v>3</v>
      </c>
      <c r="H30" s="6">
        <v>23.0</v>
      </c>
      <c r="I30" s="6">
        <v>0.0</v>
      </c>
      <c r="J30" s="6">
        <v>0.0</v>
      </c>
      <c r="K30" s="6">
        <v>0.0</v>
      </c>
      <c r="L30" s="6">
        <v>5.0</v>
      </c>
    </row>
    <row r="31">
      <c r="A31" s="6" t="s">
        <v>50</v>
      </c>
      <c r="B31" s="6" t="s">
        <v>45</v>
      </c>
      <c r="C31" s="6">
        <v>15.0</v>
      </c>
      <c r="D31" s="6">
        <v>22.0</v>
      </c>
      <c r="E31" s="6">
        <v>0.1</v>
      </c>
      <c r="F31" s="6">
        <v>5.0</v>
      </c>
      <c r="G31" s="10">
        <f t="shared" si="1"/>
        <v>3</v>
      </c>
      <c r="H31" s="6">
        <v>22.0</v>
      </c>
      <c r="I31" s="6">
        <v>0.0</v>
      </c>
      <c r="J31" s="6">
        <v>0.0</v>
      </c>
      <c r="K31" s="6">
        <v>0.0</v>
      </c>
      <c r="L31" s="6">
        <v>5.0</v>
      </c>
    </row>
    <row r="32">
      <c r="A32" s="6" t="s">
        <v>95</v>
      </c>
      <c r="B32" s="6" t="s">
        <v>45</v>
      </c>
      <c r="C32" s="6">
        <v>20.0</v>
      </c>
      <c r="D32" s="6">
        <v>34.0</v>
      </c>
      <c r="E32" s="6">
        <v>0.1</v>
      </c>
      <c r="F32" s="6">
        <v>6.0</v>
      </c>
      <c r="G32" s="10">
        <f t="shared" si="1"/>
        <v>3.333333333</v>
      </c>
      <c r="H32" s="6">
        <v>34.0</v>
      </c>
      <c r="I32" s="6">
        <v>0.0</v>
      </c>
      <c r="J32" s="6">
        <v>0.0</v>
      </c>
      <c r="K32" s="6">
        <v>0.0</v>
      </c>
      <c r="L32" s="6">
        <v>6.0</v>
      </c>
    </row>
    <row r="33">
      <c r="A33" s="6" t="s">
        <v>73</v>
      </c>
      <c r="B33" s="6" t="s">
        <v>45</v>
      </c>
      <c r="C33" s="6">
        <v>20.0</v>
      </c>
      <c r="D33" s="6">
        <v>31.0</v>
      </c>
      <c r="E33" s="6">
        <v>0.1</v>
      </c>
      <c r="F33" s="6">
        <v>6.0</v>
      </c>
      <c r="G33" s="10">
        <f t="shared" si="1"/>
        <v>3.333333333</v>
      </c>
      <c r="H33" s="6">
        <v>31.0</v>
      </c>
      <c r="I33" s="6">
        <v>0.0</v>
      </c>
      <c r="J33" s="6">
        <v>0.0</v>
      </c>
      <c r="K33" s="6">
        <v>0.0</v>
      </c>
      <c r="L33" s="6">
        <v>6.0</v>
      </c>
    </row>
    <row r="34">
      <c r="A34" s="6" t="s">
        <v>46</v>
      </c>
      <c r="B34" s="6" t="s">
        <v>45</v>
      </c>
      <c r="C34" s="6">
        <v>20.0</v>
      </c>
      <c r="D34" s="6">
        <v>25.0</v>
      </c>
      <c r="E34" s="6">
        <v>0.1</v>
      </c>
      <c r="F34" s="6">
        <v>6.0</v>
      </c>
      <c r="G34" s="10">
        <f t="shared" si="1"/>
        <v>3.333333333</v>
      </c>
      <c r="H34" s="6">
        <v>25.0</v>
      </c>
      <c r="I34" s="6">
        <v>0.0</v>
      </c>
      <c r="J34" s="6">
        <v>0.0</v>
      </c>
      <c r="K34" s="6">
        <v>0.0</v>
      </c>
      <c r="L34" s="6">
        <v>6.0</v>
      </c>
    </row>
    <row r="35">
      <c r="A35" s="6" t="s">
        <v>103</v>
      </c>
      <c r="B35" s="6" t="s">
        <v>45</v>
      </c>
      <c r="C35" s="6">
        <v>20.0</v>
      </c>
      <c r="D35" s="6">
        <v>26.0</v>
      </c>
      <c r="E35" s="6">
        <v>0.1</v>
      </c>
      <c r="F35" s="6">
        <v>7.0</v>
      </c>
      <c r="G35" s="10">
        <f t="shared" si="1"/>
        <v>2.857142857</v>
      </c>
      <c r="H35" s="6">
        <v>26.0</v>
      </c>
      <c r="I35" s="6">
        <v>0.0</v>
      </c>
      <c r="J35" s="6">
        <v>0.0</v>
      </c>
      <c r="K35" s="6">
        <v>1.0</v>
      </c>
      <c r="L35" s="6">
        <v>6.0</v>
      </c>
    </row>
    <row r="36">
      <c r="A36" s="6" t="s">
        <v>131</v>
      </c>
      <c r="B36" s="6" t="s">
        <v>45</v>
      </c>
      <c r="C36" s="6">
        <v>20.0</v>
      </c>
      <c r="D36" s="6">
        <v>35.0</v>
      </c>
      <c r="E36" s="6">
        <v>0.1</v>
      </c>
      <c r="F36" s="6">
        <v>7.0</v>
      </c>
      <c r="G36" s="10">
        <f t="shared" si="1"/>
        <v>2.857142857</v>
      </c>
      <c r="H36" s="6">
        <v>35.0</v>
      </c>
      <c r="I36" s="6">
        <v>0.0</v>
      </c>
      <c r="J36" s="6">
        <v>0.0</v>
      </c>
      <c r="K36" s="6">
        <v>1.0</v>
      </c>
      <c r="L36" s="6">
        <v>6.0</v>
      </c>
    </row>
    <row r="37">
      <c r="A37" s="6" t="s">
        <v>115</v>
      </c>
      <c r="B37" s="6" t="s">
        <v>45</v>
      </c>
      <c r="C37" s="6">
        <v>25.0</v>
      </c>
      <c r="D37" s="6">
        <v>34.0</v>
      </c>
      <c r="E37" s="6">
        <v>0.2</v>
      </c>
      <c r="F37" s="6">
        <v>8.0</v>
      </c>
      <c r="G37" s="10">
        <f t="shared" si="1"/>
        <v>3.125</v>
      </c>
      <c r="H37" s="6">
        <v>34.0</v>
      </c>
      <c r="I37" s="6">
        <v>0.0</v>
      </c>
      <c r="J37" s="6">
        <v>0.0</v>
      </c>
      <c r="K37" s="6">
        <v>0.0</v>
      </c>
      <c r="L37" s="6">
        <v>8.0</v>
      </c>
    </row>
    <row r="38">
      <c r="A38" s="6" t="s">
        <v>71</v>
      </c>
      <c r="B38" s="6" t="s">
        <v>45</v>
      </c>
      <c r="C38" s="6">
        <v>25.0</v>
      </c>
      <c r="D38" s="6">
        <v>44.0</v>
      </c>
      <c r="E38" s="6">
        <v>0.2</v>
      </c>
      <c r="F38" s="6">
        <v>8.0</v>
      </c>
      <c r="G38" s="10">
        <f t="shared" si="1"/>
        <v>3.125</v>
      </c>
      <c r="H38" s="6">
        <v>44.0</v>
      </c>
      <c r="I38" s="6">
        <v>0.0</v>
      </c>
      <c r="J38" s="6">
        <v>0.0</v>
      </c>
      <c r="K38" s="6">
        <v>1.0</v>
      </c>
      <c r="L38" s="6">
        <v>7.0</v>
      </c>
    </row>
    <row r="39">
      <c r="A39" s="6" t="s">
        <v>87</v>
      </c>
      <c r="B39" s="6" t="s">
        <v>45</v>
      </c>
      <c r="C39" s="6">
        <v>25.0</v>
      </c>
      <c r="D39" s="6">
        <v>41.0</v>
      </c>
      <c r="E39" s="6">
        <v>0.2</v>
      </c>
      <c r="F39" s="6">
        <v>8.0</v>
      </c>
      <c r="G39" s="10">
        <f t="shared" si="1"/>
        <v>3.125</v>
      </c>
      <c r="H39" s="6">
        <v>41.0</v>
      </c>
      <c r="I39" s="6">
        <v>0.0</v>
      </c>
      <c r="J39" s="6">
        <v>0.0</v>
      </c>
      <c r="K39" s="6">
        <v>1.0</v>
      </c>
      <c r="L39" s="6">
        <v>7.0</v>
      </c>
    </row>
    <row r="40">
      <c r="A40" s="6" t="s">
        <v>44</v>
      </c>
      <c r="B40" s="6" t="s">
        <v>45</v>
      </c>
      <c r="C40" s="6">
        <v>25.0</v>
      </c>
      <c r="D40" s="6">
        <v>43.0</v>
      </c>
      <c r="E40" s="6">
        <v>0.2</v>
      </c>
      <c r="F40" s="6">
        <v>9.0</v>
      </c>
      <c r="G40" s="10">
        <f t="shared" si="1"/>
        <v>2.777777778</v>
      </c>
      <c r="H40" s="6">
        <v>43.0</v>
      </c>
      <c r="I40" s="6">
        <v>0.0</v>
      </c>
      <c r="J40" s="6">
        <v>0.0</v>
      </c>
      <c r="K40" s="6">
        <v>1.0</v>
      </c>
      <c r="L40" s="6">
        <v>8.0</v>
      </c>
    </row>
    <row r="41">
      <c r="A41" s="6" t="s">
        <v>134</v>
      </c>
      <c r="B41" s="6" t="s">
        <v>45</v>
      </c>
      <c r="C41" s="6">
        <v>25.0</v>
      </c>
      <c r="D41" s="6">
        <v>45.0</v>
      </c>
      <c r="E41" s="6">
        <v>0.2</v>
      </c>
      <c r="F41" s="6">
        <v>8.0</v>
      </c>
      <c r="G41" s="10">
        <f t="shared" si="1"/>
        <v>3.125</v>
      </c>
      <c r="H41" s="6">
        <v>45.0</v>
      </c>
      <c r="I41" s="6">
        <v>0.0</v>
      </c>
      <c r="J41" s="6">
        <v>0.0</v>
      </c>
      <c r="K41" s="6">
        <v>0.0</v>
      </c>
      <c r="L41" s="6">
        <v>8.0</v>
      </c>
    </row>
    <row r="42">
      <c r="A42" s="6" t="s">
        <v>153</v>
      </c>
      <c r="B42" s="6" t="s">
        <v>45</v>
      </c>
      <c r="C42" s="6">
        <v>30.0</v>
      </c>
      <c r="D42" s="6">
        <v>54.0</v>
      </c>
      <c r="E42" s="6">
        <v>0.2</v>
      </c>
      <c r="F42" s="6">
        <v>8.0</v>
      </c>
      <c r="G42" s="10">
        <f t="shared" si="1"/>
        <v>3.75</v>
      </c>
      <c r="H42" s="6">
        <v>54.0</v>
      </c>
      <c r="I42" s="6">
        <v>0.0</v>
      </c>
      <c r="J42" s="6">
        <v>0.0</v>
      </c>
      <c r="K42" s="6">
        <v>0.0</v>
      </c>
      <c r="L42" s="6">
        <v>8.0</v>
      </c>
    </row>
    <row r="43">
      <c r="A43" s="6" t="s">
        <v>51</v>
      </c>
      <c r="B43" s="6" t="s">
        <v>45</v>
      </c>
      <c r="C43" s="6">
        <v>30.0</v>
      </c>
      <c r="D43" s="6">
        <v>59.0</v>
      </c>
      <c r="E43" s="6">
        <v>0.2</v>
      </c>
      <c r="F43" s="6">
        <v>9.0</v>
      </c>
      <c r="G43" s="10">
        <f t="shared" si="1"/>
        <v>3.333333333</v>
      </c>
      <c r="H43" s="6">
        <v>59.0</v>
      </c>
      <c r="I43" s="6">
        <v>0.0</v>
      </c>
      <c r="J43" s="6">
        <v>0.0</v>
      </c>
      <c r="K43" s="6">
        <v>0.0</v>
      </c>
      <c r="L43" s="6">
        <v>9.0</v>
      </c>
    </row>
    <row r="44">
      <c r="A44" s="6" t="s">
        <v>96</v>
      </c>
      <c r="B44" s="6" t="s">
        <v>45</v>
      </c>
      <c r="C44" s="6">
        <v>30.0</v>
      </c>
      <c r="D44" s="6">
        <v>64.0</v>
      </c>
      <c r="E44" s="6">
        <v>0.2</v>
      </c>
      <c r="F44" s="6">
        <v>10.0</v>
      </c>
      <c r="G44" s="10">
        <f t="shared" si="1"/>
        <v>3</v>
      </c>
      <c r="H44" s="6">
        <v>64.0</v>
      </c>
      <c r="I44" s="6">
        <v>0.0</v>
      </c>
      <c r="J44" s="6">
        <v>0.0</v>
      </c>
      <c r="K44" s="6">
        <v>0.0</v>
      </c>
      <c r="L44" s="6">
        <v>10.0</v>
      </c>
    </row>
    <row r="45">
      <c r="A45" s="6" t="s">
        <v>106</v>
      </c>
      <c r="B45" s="6" t="s">
        <v>45</v>
      </c>
      <c r="C45" s="6">
        <v>30.0</v>
      </c>
      <c r="D45" s="6">
        <v>62.0</v>
      </c>
      <c r="E45" s="6">
        <v>0.2</v>
      </c>
      <c r="F45" s="6">
        <v>9.0</v>
      </c>
      <c r="G45" s="10">
        <f t="shared" si="1"/>
        <v>3.333333333</v>
      </c>
      <c r="H45" s="6">
        <v>62.0</v>
      </c>
      <c r="I45" s="6">
        <v>0.0</v>
      </c>
      <c r="J45" s="6">
        <v>0.0</v>
      </c>
      <c r="K45" s="6">
        <v>1.0</v>
      </c>
      <c r="L45" s="6">
        <v>8.0</v>
      </c>
    </row>
    <row r="46">
      <c r="A46" s="6" t="s">
        <v>91</v>
      </c>
      <c r="B46" s="6" t="s">
        <v>45</v>
      </c>
      <c r="C46" s="6">
        <v>30.0</v>
      </c>
      <c r="D46" s="6">
        <v>58.0</v>
      </c>
      <c r="E46" s="6">
        <v>0.2</v>
      </c>
      <c r="F46" s="6">
        <v>9.0</v>
      </c>
      <c r="G46" s="10">
        <f t="shared" si="1"/>
        <v>3.333333333</v>
      </c>
      <c r="H46" s="6">
        <v>58.0</v>
      </c>
      <c r="I46" s="6">
        <v>0.0</v>
      </c>
      <c r="J46" s="6">
        <v>0.0</v>
      </c>
      <c r="K46" s="6">
        <v>0.0</v>
      </c>
      <c r="L46" s="6">
        <v>9.0</v>
      </c>
    </row>
    <row r="47">
      <c r="A47" s="6" t="s">
        <v>66</v>
      </c>
      <c r="B47" s="6" t="s">
        <v>45</v>
      </c>
      <c r="C47" s="6">
        <v>40.0</v>
      </c>
      <c r="D47" s="6">
        <v>88.0</v>
      </c>
      <c r="E47" s="6">
        <v>0.4</v>
      </c>
      <c r="F47" s="6">
        <v>12.0</v>
      </c>
      <c r="G47" s="10">
        <f t="shared" si="1"/>
        <v>3.333333333</v>
      </c>
      <c r="H47" s="6">
        <v>88.0</v>
      </c>
      <c r="I47" s="6">
        <v>0.0</v>
      </c>
      <c r="J47" s="6">
        <v>0.0</v>
      </c>
      <c r="K47" s="6">
        <v>1.0</v>
      </c>
      <c r="L47" s="6">
        <v>11.0</v>
      </c>
    </row>
    <row r="48">
      <c r="A48" s="6" t="s">
        <v>75</v>
      </c>
      <c r="B48" s="6" t="s">
        <v>45</v>
      </c>
      <c r="C48" s="6">
        <v>40.0</v>
      </c>
      <c r="D48" s="6">
        <v>82.0</v>
      </c>
      <c r="E48" s="6">
        <v>0.4</v>
      </c>
      <c r="F48" s="6">
        <v>12.0</v>
      </c>
      <c r="G48" s="10">
        <f t="shared" si="1"/>
        <v>3.333333333</v>
      </c>
      <c r="H48" s="6">
        <v>82.0</v>
      </c>
      <c r="I48" s="6">
        <v>0.0</v>
      </c>
      <c r="J48" s="6">
        <v>0.0</v>
      </c>
      <c r="K48" s="6">
        <v>0.0</v>
      </c>
      <c r="L48" s="6">
        <v>12.0</v>
      </c>
    </row>
    <row r="49">
      <c r="A49" s="6" t="s">
        <v>58</v>
      </c>
      <c r="B49" s="6" t="s">
        <v>45</v>
      </c>
      <c r="C49" s="6">
        <v>40.0</v>
      </c>
      <c r="D49" s="6">
        <v>91.0</v>
      </c>
      <c r="E49" s="6">
        <v>0.4</v>
      </c>
      <c r="F49" s="6">
        <v>13.0</v>
      </c>
      <c r="G49" s="10">
        <f t="shared" si="1"/>
        <v>3.076923077</v>
      </c>
      <c r="H49" s="6">
        <v>91.0</v>
      </c>
      <c r="I49" s="6">
        <v>0.0</v>
      </c>
      <c r="J49" s="6">
        <v>0.0</v>
      </c>
      <c r="K49" s="6">
        <v>0.0</v>
      </c>
      <c r="L49" s="6">
        <v>13.0</v>
      </c>
    </row>
    <row r="50">
      <c r="A50" s="6" t="s">
        <v>108</v>
      </c>
      <c r="B50" s="6" t="s">
        <v>45</v>
      </c>
      <c r="C50" s="6">
        <v>40.0</v>
      </c>
      <c r="D50" s="6">
        <v>93.0</v>
      </c>
      <c r="E50" s="6">
        <v>0.4</v>
      </c>
      <c r="F50" s="6">
        <v>13.0</v>
      </c>
      <c r="G50" s="10">
        <f t="shared" si="1"/>
        <v>3.076923077</v>
      </c>
      <c r="H50" s="6">
        <v>93.0</v>
      </c>
      <c r="I50" s="6">
        <v>0.0</v>
      </c>
      <c r="J50" s="6">
        <v>0.0</v>
      </c>
      <c r="K50" s="6">
        <v>2.0</v>
      </c>
      <c r="L50" s="6">
        <v>11.0</v>
      </c>
    </row>
    <row r="51">
      <c r="A51" s="11" t="s">
        <v>122</v>
      </c>
      <c r="B51" s="11" t="s">
        <v>45</v>
      </c>
      <c r="C51" s="11">
        <v>40.0</v>
      </c>
      <c r="D51" s="11">
        <v>92.0</v>
      </c>
      <c r="E51" s="11">
        <v>0.4</v>
      </c>
      <c r="F51" s="11">
        <v>14.0</v>
      </c>
      <c r="G51" s="10">
        <f t="shared" si="1"/>
        <v>2.857142857</v>
      </c>
      <c r="H51" s="11">
        <v>92.0</v>
      </c>
      <c r="I51" s="11">
        <v>0.0</v>
      </c>
      <c r="J51" s="11">
        <v>0.0</v>
      </c>
      <c r="K51" s="11">
        <v>2.0</v>
      </c>
      <c r="L51" s="11">
        <v>12.0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6" t="s">
        <v>88</v>
      </c>
      <c r="B52" s="6" t="s">
        <v>45</v>
      </c>
      <c r="C52" s="6">
        <v>50.0</v>
      </c>
      <c r="D52" s="6">
        <v>115.0</v>
      </c>
      <c r="E52" s="6">
        <v>0.6</v>
      </c>
      <c r="F52" s="6">
        <v>16.0</v>
      </c>
      <c r="G52" s="10">
        <f t="shared" si="1"/>
        <v>3.125</v>
      </c>
      <c r="H52" s="6">
        <v>115.0</v>
      </c>
      <c r="I52" s="6">
        <v>0.0</v>
      </c>
      <c r="J52" s="6">
        <v>0.0</v>
      </c>
      <c r="K52" s="6">
        <v>3.0</v>
      </c>
      <c r="L52" s="6">
        <v>13.0</v>
      </c>
    </row>
    <row r="53">
      <c r="A53" s="6" t="s">
        <v>135</v>
      </c>
      <c r="B53" s="6" t="s">
        <v>45</v>
      </c>
      <c r="C53" s="6">
        <v>50.0</v>
      </c>
      <c r="D53" s="6">
        <v>124.0</v>
      </c>
      <c r="E53" s="6">
        <v>0.6</v>
      </c>
      <c r="F53" s="6">
        <v>14.0</v>
      </c>
      <c r="G53" s="10">
        <f t="shared" si="1"/>
        <v>3.571428571</v>
      </c>
      <c r="H53" s="6">
        <v>124.0</v>
      </c>
      <c r="I53" s="6">
        <v>0.0</v>
      </c>
      <c r="J53" s="6">
        <v>0.0</v>
      </c>
      <c r="K53" s="6">
        <v>0.0</v>
      </c>
      <c r="L53" s="6">
        <v>14.0</v>
      </c>
    </row>
    <row r="54">
      <c r="A54" s="6" t="s">
        <v>54</v>
      </c>
      <c r="B54" s="6" t="s">
        <v>45</v>
      </c>
      <c r="C54" s="6">
        <v>50.0</v>
      </c>
      <c r="D54" s="6">
        <v>122.0</v>
      </c>
      <c r="E54" s="6">
        <v>0.6</v>
      </c>
      <c r="F54" s="6">
        <v>16.0</v>
      </c>
      <c r="G54" s="10">
        <f t="shared" si="1"/>
        <v>3.125</v>
      </c>
      <c r="H54" s="6">
        <v>122.0</v>
      </c>
      <c r="I54" s="6">
        <v>0.0</v>
      </c>
      <c r="J54" s="6">
        <v>0.0</v>
      </c>
      <c r="K54" s="6">
        <v>1.0</v>
      </c>
      <c r="L54" s="6">
        <v>15.0</v>
      </c>
    </row>
    <row r="55">
      <c r="A55" s="6" t="s">
        <v>148</v>
      </c>
      <c r="B55" s="6" t="s">
        <v>45</v>
      </c>
      <c r="C55" s="6">
        <v>50.0</v>
      </c>
      <c r="D55" s="6">
        <v>118.0</v>
      </c>
      <c r="E55" s="6">
        <v>0.7</v>
      </c>
      <c r="F55" s="6">
        <v>16.0</v>
      </c>
      <c r="G55" s="10">
        <f t="shared" si="1"/>
        <v>3.125</v>
      </c>
      <c r="H55" s="6">
        <v>118.0</v>
      </c>
      <c r="I55" s="6">
        <v>0.0</v>
      </c>
      <c r="J55" s="6">
        <v>0.0</v>
      </c>
      <c r="K55" s="6">
        <v>2.0</v>
      </c>
      <c r="L55" s="6">
        <v>14.0</v>
      </c>
    </row>
    <row r="56">
      <c r="A56" s="6" t="s">
        <v>76</v>
      </c>
      <c r="B56" s="6" t="s">
        <v>45</v>
      </c>
      <c r="C56" s="6">
        <v>50.0</v>
      </c>
      <c r="D56" s="6">
        <v>127.0</v>
      </c>
      <c r="E56" s="6">
        <v>0.6</v>
      </c>
      <c r="F56" s="6">
        <v>16.0</v>
      </c>
      <c r="G56" s="10">
        <f t="shared" si="1"/>
        <v>3.125</v>
      </c>
      <c r="H56" s="6">
        <v>127.0</v>
      </c>
      <c r="I56" s="6">
        <v>0.0</v>
      </c>
      <c r="J56" s="6">
        <v>0.0</v>
      </c>
      <c r="K56" s="6">
        <v>1.0</v>
      </c>
      <c r="L56" s="6">
        <v>15.0</v>
      </c>
    </row>
    <row r="57">
      <c r="A57" s="6" t="s">
        <v>62</v>
      </c>
      <c r="B57" s="6" t="s">
        <v>45</v>
      </c>
      <c r="C57" s="6">
        <v>75.0</v>
      </c>
      <c r="D57" s="6">
        <v>222.0</v>
      </c>
      <c r="E57" s="6">
        <v>1.3</v>
      </c>
      <c r="F57" s="6">
        <v>22.0</v>
      </c>
      <c r="G57" s="10">
        <f t="shared" si="1"/>
        <v>3.409090909</v>
      </c>
      <c r="H57" s="6">
        <v>222.0</v>
      </c>
      <c r="I57" s="6">
        <v>0.0</v>
      </c>
      <c r="J57" s="6">
        <v>0.0</v>
      </c>
      <c r="K57" s="6">
        <v>4.0</v>
      </c>
      <c r="L57" s="6">
        <v>18.0</v>
      </c>
    </row>
    <row r="58">
      <c r="A58" s="6" t="s">
        <v>72</v>
      </c>
      <c r="B58" s="6" t="s">
        <v>45</v>
      </c>
      <c r="C58" s="6">
        <v>75.0</v>
      </c>
      <c r="D58" s="6">
        <v>192.0</v>
      </c>
      <c r="E58" s="6">
        <v>1.3</v>
      </c>
      <c r="F58" s="6">
        <v>25.0</v>
      </c>
      <c r="G58" s="10">
        <f t="shared" si="1"/>
        <v>3</v>
      </c>
      <c r="H58" s="6">
        <v>192.0</v>
      </c>
      <c r="I58" s="6">
        <v>0.0</v>
      </c>
      <c r="J58" s="6">
        <v>0.0</v>
      </c>
      <c r="K58" s="6">
        <v>4.0</v>
      </c>
      <c r="L58" s="6">
        <v>21.0</v>
      </c>
    </row>
    <row r="59">
      <c r="A59" s="6" t="s">
        <v>74</v>
      </c>
      <c r="B59" s="6" t="s">
        <v>45</v>
      </c>
      <c r="C59" s="6">
        <v>75.0</v>
      </c>
      <c r="D59" s="6">
        <v>197.0</v>
      </c>
      <c r="E59" s="6">
        <v>1.3</v>
      </c>
      <c r="F59" s="6">
        <v>24.0</v>
      </c>
      <c r="G59" s="10">
        <f t="shared" si="1"/>
        <v>3.125</v>
      </c>
      <c r="H59" s="6">
        <v>197.0</v>
      </c>
      <c r="I59" s="6">
        <v>0.0</v>
      </c>
      <c r="J59" s="6">
        <v>0.0</v>
      </c>
      <c r="K59" s="6">
        <v>4.0</v>
      </c>
      <c r="L59" s="6">
        <v>20.0</v>
      </c>
    </row>
    <row r="60">
      <c r="A60" s="6" t="s">
        <v>120</v>
      </c>
      <c r="B60" s="6" t="s">
        <v>45</v>
      </c>
      <c r="C60" s="6">
        <v>75.0</v>
      </c>
      <c r="D60" s="6">
        <v>189.0</v>
      </c>
      <c r="E60" s="6">
        <v>1.3</v>
      </c>
      <c r="F60" s="6">
        <v>23.0</v>
      </c>
      <c r="G60" s="10">
        <f t="shared" si="1"/>
        <v>3.260869565</v>
      </c>
      <c r="H60" s="6">
        <v>189.0</v>
      </c>
      <c r="I60" s="6">
        <v>0.0</v>
      </c>
      <c r="J60" s="6">
        <v>1.0</v>
      </c>
      <c r="K60" s="6">
        <v>4.0</v>
      </c>
      <c r="L60" s="6">
        <v>18.0</v>
      </c>
    </row>
    <row r="61">
      <c r="A61" s="6" t="s">
        <v>119</v>
      </c>
      <c r="B61" s="6" t="s">
        <v>45</v>
      </c>
      <c r="C61" s="6">
        <v>75.0</v>
      </c>
      <c r="D61" s="6">
        <v>198.0</v>
      </c>
      <c r="E61" s="6">
        <v>1.3</v>
      </c>
      <c r="F61" s="6">
        <v>23.0</v>
      </c>
      <c r="G61" s="10">
        <f t="shared" si="1"/>
        <v>3.260869565</v>
      </c>
      <c r="H61" s="6">
        <v>198.0</v>
      </c>
      <c r="I61" s="6">
        <v>0.0</v>
      </c>
      <c r="J61" s="6">
        <v>1.0</v>
      </c>
      <c r="K61" s="6">
        <v>2.0</v>
      </c>
      <c r="L61" s="6">
        <v>20.0</v>
      </c>
    </row>
    <row r="62">
      <c r="A62" s="6" t="s">
        <v>101</v>
      </c>
      <c r="B62" s="6" t="s">
        <v>45</v>
      </c>
      <c r="C62" s="6">
        <v>100.0</v>
      </c>
      <c r="D62" s="6">
        <v>300.0</v>
      </c>
      <c r="E62" s="6">
        <v>2.3</v>
      </c>
      <c r="F62" s="6">
        <v>29.0</v>
      </c>
      <c r="G62" s="10">
        <f t="shared" si="1"/>
        <v>3.448275862</v>
      </c>
      <c r="H62" s="6">
        <v>300.0</v>
      </c>
      <c r="I62" s="6">
        <v>0.0</v>
      </c>
      <c r="J62" s="6">
        <v>0.0</v>
      </c>
      <c r="K62" s="6">
        <v>4.0</v>
      </c>
      <c r="L62" s="6">
        <v>25.0</v>
      </c>
    </row>
    <row r="63">
      <c r="A63" s="6" t="s">
        <v>117</v>
      </c>
      <c r="B63" s="6" t="s">
        <v>45</v>
      </c>
      <c r="C63" s="6">
        <v>100.0</v>
      </c>
      <c r="D63" s="6">
        <v>282.0</v>
      </c>
      <c r="E63" s="6">
        <v>2.3</v>
      </c>
      <c r="F63" s="6">
        <v>33.0</v>
      </c>
      <c r="G63" s="10">
        <f t="shared" si="1"/>
        <v>3.03030303</v>
      </c>
      <c r="H63" s="6">
        <v>282.0</v>
      </c>
      <c r="I63" s="6">
        <v>0.0</v>
      </c>
      <c r="J63" s="6">
        <v>0.0</v>
      </c>
      <c r="K63" s="6">
        <v>7.0</v>
      </c>
      <c r="L63" s="6">
        <v>26.0</v>
      </c>
    </row>
    <row r="64">
      <c r="A64" s="6" t="s">
        <v>98</v>
      </c>
      <c r="B64" s="6" t="s">
        <v>45</v>
      </c>
      <c r="C64" s="6">
        <v>100.0</v>
      </c>
      <c r="D64" s="6">
        <v>300.0</v>
      </c>
      <c r="E64" s="6">
        <v>2.2</v>
      </c>
      <c r="F64" s="6">
        <v>30.0</v>
      </c>
      <c r="G64" s="10">
        <f t="shared" si="1"/>
        <v>3.333333333</v>
      </c>
      <c r="H64" s="6">
        <v>300.0</v>
      </c>
      <c r="I64" s="6">
        <v>0.0</v>
      </c>
      <c r="J64" s="6">
        <v>0.0</v>
      </c>
      <c r="K64" s="6">
        <v>6.0</v>
      </c>
      <c r="L64" s="6">
        <v>24.0</v>
      </c>
    </row>
    <row r="65">
      <c r="A65" s="6" t="s">
        <v>143</v>
      </c>
      <c r="B65" s="6" t="s">
        <v>45</v>
      </c>
      <c r="C65" s="6">
        <v>100.0</v>
      </c>
      <c r="D65" s="6">
        <v>282.0</v>
      </c>
      <c r="E65" s="6">
        <v>2.3</v>
      </c>
      <c r="F65" s="6">
        <v>32.0</v>
      </c>
      <c r="G65" s="10">
        <f t="shared" si="1"/>
        <v>3.125</v>
      </c>
      <c r="H65" s="6">
        <v>282.0</v>
      </c>
      <c r="I65" s="6">
        <v>0.0</v>
      </c>
      <c r="J65" s="6">
        <v>0.0</v>
      </c>
      <c r="K65" s="6">
        <v>6.0</v>
      </c>
      <c r="L65" s="6">
        <v>26.0</v>
      </c>
    </row>
    <row r="66">
      <c r="A66" s="6" t="s">
        <v>92</v>
      </c>
      <c r="B66" s="6" t="s">
        <v>45</v>
      </c>
      <c r="C66" s="6">
        <v>100.0</v>
      </c>
      <c r="D66" s="6">
        <v>305.0</v>
      </c>
      <c r="E66" s="6">
        <v>2.2</v>
      </c>
      <c r="F66" s="6">
        <v>29.0</v>
      </c>
      <c r="G66" s="10">
        <f t="shared" si="1"/>
        <v>3.448275862</v>
      </c>
      <c r="H66" s="6">
        <v>305.0</v>
      </c>
      <c r="I66" s="6">
        <v>0.0</v>
      </c>
      <c r="J66" s="6">
        <v>0.0</v>
      </c>
      <c r="K66" s="6">
        <v>3.0</v>
      </c>
      <c r="L66" s="6">
        <v>26.0</v>
      </c>
    </row>
    <row r="67">
      <c r="A67" s="6" t="s">
        <v>97</v>
      </c>
      <c r="B67" s="6" t="s">
        <v>45</v>
      </c>
      <c r="C67" s="6">
        <v>125.0</v>
      </c>
      <c r="D67" s="6">
        <v>392.0</v>
      </c>
      <c r="E67" s="6">
        <v>3.4</v>
      </c>
      <c r="F67" s="6">
        <v>37.0</v>
      </c>
      <c r="G67" s="10">
        <f t="shared" si="1"/>
        <v>3.378378378</v>
      </c>
      <c r="H67" s="6">
        <v>392.0</v>
      </c>
      <c r="I67" s="6">
        <v>0.0</v>
      </c>
      <c r="J67" s="6">
        <v>0.0</v>
      </c>
      <c r="K67" s="6">
        <v>7.0</v>
      </c>
      <c r="L67" s="6">
        <v>30.0</v>
      </c>
    </row>
    <row r="68">
      <c r="A68" s="6" t="s">
        <v>121</v>
      </c>
      <c r="B68" s="6" t="s">
        <v>45</v>
      </c>
      <c r="C68" s="6">
        <v>125.0</v>
      </c>
      <c r="D68" s="6">
        <v>388.0</v>
      </c>
      <c r="E68" s="6">
        <v>3.5</v>
      </c>
      <c r="F68" s="6">
        <v>39.0</v>
      </c>
      <c r="G68" s="10">
        <f t="shared" si="1"/>
        <v>3.205128205</v>
      </c>
      <c r="H68" s="6">
        <v>388.0</v>
      </c>
      <c r="I68" s="6">
        <v>0.0</v>
      </c>
      <c r="J68" s="6">
        <v>0.0</v>
      </c>
      <c r="K68" s="6">
        <v>7.0</v>
      </c>
      <c r="L68" s="6">
        <v>32.0</v>
      </c>
    </row>
    <row r="69">
      <c r="A69" s="6" t="s">
        <v>116</v>
      </c>
      <c r="B69" s="6" t="s">
        <v>45</v>
      </c>
      <c r="C69" s="6">
        <v>125.0</v>
      </c>
      <c r="D69" s="6">
        <v>380.0</v>
      </c>
      <c r="E69" s="6">
        <v>3.6</v>
      </c>
      <c r="F69" s="6">
        <v>39.0</v>
      </c>
      <c r="G69" s="10">
        <f t="shared" si="1"/>
        <v>3.205128205</v>
      </c>
      <c r="H69" s="6">
        <v>380.0</v>
      </c>
      <c r="I69" s="6">
        <v>0.0</v>
      </c>
      <c r="J69" s="6">
        <v>1.0</v>
      </c>
      <c r="K69" s="6">
        <v>8.0</v>
      </c>
      <c r="L69" s="6">
        <v>30.0</v>
      </c>
    </row>
    <row r="70">
      <c r="A70" s="6" t="s">
        <v>102</v>
      </c>
      <c r="B70" s="6" t="s">
        <v>45</v>
      </c>
      <c r="C70" s="6">
        <v>125.0</v>
      </c>
      <c r="D70" s="6">
        <v>369.0</v>
      </c>
      <c r="E70" s="6">
        <v>3.5</v>
      </c>
      <c r="F70" s="6">
        <v>37.0</v>
      </c>
      <c r="G70" s="10">
        <f t="shared" si="1"/>
        <v>3.378378378</v>
      </c>
      <c r="H70" s="6">
        <v>369.0</v>
      </c>
      <c r="I70" s="6">
        <v>0.0</v>
      </c>
      <c r="J70" s="6">
        <v>0.0</v>
      </c>
      <c r="K70" s="6">
        <v>4.0</v>
      </c>
      <c r="L70" s="6">
        <v>33.0</v>
      </c>
    </row>
    <row r="71">
      <c r="A71" s="6" t="s">
        <v>147</v>
      </c>
      <c r="B71" s="6" t="s">
        <v>45</v>
      </c>
      <c r="C71" s="6">
        <v>125.0</v>
      </c>
      <c r="D71" s="6">
        <v>383.0</v>
      </c>
      <c r="E71" s="6">
        <v>3.5</v>
      </c>
      <c r="F71" s="6">
        <v>38.0</v>
      </c>
      <c r="G71" s="10">
        <f t="shared" si="1"/>
        <v>3.289473684</v>
      </c>
      <c r="H71" s="6">
        <v>383.0</v>
      </c>
      <c r="I71" s="6">
        <v>0.0</v>
      </c>
      <c r="J71" s="6">
        <v>0.0</v>
      </c>
      <c r="K71" s="6">
        <v>7.0</v>
      </c>
      <c r="L71" s="6">
        <v>31.0</v>
      </c>
    </row>
    <row r="72">
      <c r="A72" s="6" t="s">
        <v>146</v>
      </c>
      <c r="B72" s="6" t="s">
        <v>45</v>
      </c>
      <c r="C72" s="6">
        <v>150.0</v>
      </c>
      <c r="D72" s="6">
        <v>479.0</v>
      </c>
      <c r="E72" s="6">
        <v>5.0</v>
      </c>
      <c r="F72" s="6">
        <v>46.0</v>
      </c>
      <c r="G72" s="10">
        <f t="shared" si="1"/>
        <v>3.260869565</v>
      </c>
      <c r="H72" s="6">
        <v>479.0</v>
      </c>
      <c r="I72" s="6">
        <v>0.0</v>
      </c>
      <c r="J72" s="6">
        <v>1.0</v>
      </c>
      <c r="K72" s="6">
        <v>5.0</v>
      </c>
      <c r="L72" s="6">
        <v>40.0</v>
      </c>
    </row>
    <row r="73">
      <c r="A73" s="6" t="s">
        <v>89</v>
      </c>
      <c r="B73" s="6" t="s">
        <v>45</v>
      </c>
      <c r="C73" s="6">
        <v>150.0</v>
      </c>
      <c r="D73" s="6">
        <v>478.0</v>
      </c>
      <c r="E73" s="6">
        <v>5.0</v>
      </c>
      <c r="F73" s="6">
        <v>46.0</v>
      </c>
      <c r="G73" s="10">
        <f t="shared" si="1"/>
        <v>3.260869565</v>
      </c>
      <c r="H73" s="6">
        <v>478.0</v>
      </c>
      <c r="I73" s="6">
        <v>0.0</v>
      </c>
      <c r="J73" s="6">
        <v>1.0</v>
      </c>
      <c r="K73" s="6">
        <v>9.0</v>
      </c>
      <c r="L73" s="6">
        <v>36.0</v>
      </c>
    </row>
    <row r="74">
      <c r="A74" s="6" t="s">
        <v>47</v>
      </c>
      <c r="B74" s="6" t="s">
        <v>45</v>
      </c>
      <c r="C74" s="6">
        <v>150.0</v>
      </c>
      <c r="D74" s="6">
        <v>482.0</v>
      </c>
      <c r="E74" s="6">
        <v>4.9</v>
      </c>
      <c r="F74" s="6">
        <v>45.0</v>
      </c>
      <c r="G74" s="10">
        <f t="shared" si="1"/>
        <v>3.333333333</v>
      </c>
      <c r="H74" s="6">
        <v>482.0</v>
      </c>
      <c r="I74" s="6">
        <v>0.0</v>
      </c>
      <c r="J74" s="6">
        <v>1.0</v>
      </c>
      <c r="K74" s="6">
        <v>10.0</v>
      </c>
      <c r="L74" s="6">
        <v>34.0</v>
      </c>
    </row>
    <row r="75">
      <c r="A75" s="6" t="s">
        <v>137</v>
      </c>
      <c r="B75" s="6" t="s">
        <v>45</v>
      </c>
      <c r="C75" s="6">
        <v>150.0</v>
      </c>
      <c r="D75" s="6">
        <v>484.0</v>
      </c>
      <c r="E75" s="6">
        <v>4.9</v>
      </c>
      <c r="F75" s="6">
        <v>46.0</v>
      </c>
      <c r="G75" s="10">
        <f t="shared" si="1"/>
        <v>3.260869565</v>
      </c>
      <c r="H75" s="6">
        <v>484.0</v>
      </c>
      <c r="I75" s="6">
        <v>0.0</v>
      </c>
      <c r="J75" s="6">
        <v>2.0</v>
      </c>
      <c r="K75" s="6">
        <v>13.0</v>
      </c>
      <c r="L75" s="6">
        <v>31.0</v>
      </c>
    </row>
    <row r="76">
      <c r="A76" s="6" t="s">
        <v>136</v>
      </c>
      <c r="B76" s="6" t="s">
        <v>45</v>
      </c>
      <c r="C76" s="6">
        <v>150.0</v>
      </c>
      <c r="D76" s="6">
        <v>456.0</v>
      </c>
      <c r="E76" s="6">
        <v>5.0</v>
      </c>
      <c r="F76" s="6">
        <v>47.0</v>
      </c>
      <c r="G76" s="10">
        <f t="shared" si="1"/>
        <v>3.191489362</v>
      </c>
      <c r="H76" s="6">
        <v>456.0</v>
      </c>
      <c r="I76" s="6">
        <v>0.0</v>
      </c>
      <c r="J76" s="6">
        <v>0.0</v>
      </c>
      <c r="K76" s="6">
        <v>11.0</v>
      </c>
      <c r="L76" s="6">
        <v>36.0</v>
      </c>
    </row>
    <row r="77">
      <c r="A77" s="6" t="s">
        <v>128</v>
      </c>
      <c r="B77" s="6" t="s">
        <v>45</v>
      </c>
      <c r="C77" s="6">
        <v>200.0</v>
      </c>
      <c r="D77" s="6">
        <v>680.0</v>
      </c>
      <c r="E77" s="6">
        <v>8.9</v>
      </c>
      <c r="F77" s="6">
        <v>61.0</v>
      </c>
      <c r="G77" s="10">
        <f t="shared" si="1"/>
        <v>3.278688525</v>
      </c>
      <c r="H77" s="6">
        <v>680.0</v>
      </c>
      <c r="I77" s="6">
        <v>0.0</v>
      </c>
      <c r="J77" s="6">
        <v>1.0</v>
      </c>
      <c r="K77" s="6">
        <v>16.0</v>
      </c>
      <c r="L77" s="6">
        <v>44.0</v>
      </c>
    </row>
    <row r="78">
      <c r="A78" s="6" t="s">
        <v>68</v>
      </c>
      <c r="B78" s="6" t="s">
        <v>45</v>
      </c>
      <c r="C78" s="6">
        <v>200.0</v>
      </c>
      <c r="D78" s="6">
        <v>675.0</v>
      </c>
      <c r="E78" s="6">
        <v>8.8</v>
      </c>
      <c r="F78" s="6">
        <v>61.0</v>
      </c>
      <c r="G78" s="10">
        <f t="shared" si="1"/>
        <v>3.278688525</v>
      </c>
      <c r="H78" s="6">
        <v>675.0</v>
      </c>
      <c r="I78" s="6">
        <v>0.0</v>
      </c>
      <c r="J78" s="6">
        <v>1.0</v>
      </c>
      <c r="K78" s="6">
        <v>19.0</v>
      </c>
      <c r="L78" s="6">
        <v>41.0</v>
      </c>
    </row>
    <row r="79">
      <c r="A79" s="6" t="s">
        <v>112</v>
      </c>
      <c r="B79" s="6" t="s">
        <v>45</v>
      </c>
      <c r="C79" s="6">
        <v>200.0</v>
      </c>
      <c r="D79" s="6">
        <v>684.0</v>
      </c>
      <c r="E79" s="6">
        <v>8.6</v>
      </c>
      <c r="F79" s="6">
        <v>59.0</v>
      </c>
      <c r="G79" s="10">
        <f t="shared" si="1"/>
        <v>3.389830508</v>
      </c>
      <c r="H79" s="6">
        <v>684.0</v>
      </c>
      <c r="I79" s="6">
        <v>0.0</v>
      </c>
      <c r="J79" s="6">
        <v>1.0</v>
      </c>
      <c r="K79" s="6">
        <v>14.0</v>
      </c>
      <c r="L79" s="6">
        <v>44.0</v>
      </c>
    </row>
    <row r="80">
      <c r="A80" s="6" t="s">
        <v>145</v>
      </c>
      <c r="B80" s="6" t="s">
        <v>45</v>
      </c>
      <c r="C80" s="6">
        <v>200.0</v>
      </c>
      <c r="D80" s="6">
        <v>684.0</v>
      </c>
      <c r="E80" s="6">
        <v>9.1</v>
      </c>
      <c r="F80" s="6">
        <v>60.0</v>
      </c>
      <c r="G80" s="10">
        <f t="shared" si="1"/>
        <v>3.333333333</v>
      </c>
      <c r="H80" s="6">
        <v>684.0</v>
      </c>
      <c r="I80" s="6">
        <v>0.0</v>
      </c>
      <c r="J80" s="6">
        <v>0.0</v>
      </c>
      <c r="K80" s="6">
        <v>17.0</v>
      </c>
      <c r="L80" s="6">
        <v>43.0</v>
      </c>
    </row>
    <row r="81">
      <c r="A81" s="11" t="s">
        <v>56</v>
      </c>
      <c r="B81" s="11" t="s">
        <v>45</v>
      </c>
      <c r="C81" s="11">
        <v>200.0</v>
      </c>
      <c r="D81" s="11">
        <v>684.0</v>
      </c>
      <c r="E81" s="11">
        <v>8.8</v>
      </c>
      <c r="F81" s="11">
        <v>61.0</v>
      </c>
      <c r="G81" s="10">
        <f t="shared" si="1"/>
        <v>3.278688525</v>
      </c>
      <c r="H81" s="11">
        <v>684.0</v>
      </c>
      <c r="I81" s="11">
        <v>0.0</v>
      </c>
      <c r="J81" s="11">
        <v>1.0</v>
      </c>
      <c r="K81" s="11">
        <v>16.0</v>
      </c>
      <c r="L81" s="11">
        <v>44.0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6" t="s">
        <v>77</v>
      </c>
      <c r="B82" s="6" t="s">
        <v>45</v>
      </c>
      <c r="C82" s="6">
        <v>250.0</v>
      </c>
      <c r="D82" s="6">
        <v>855.0</v>
      </c>
      <c r="E82" s="6">
        <v>14.0</v>
      </c>
      <c r="F82" s="6">
        <v>76.0</v>
      </c>
      <c r="G82" s="10">
        <f t="shared" si="1"/>
        <v>3.289473684</v>
      </c>
      <c r="H82" s="6">
        <v>855.0</v>
      </c>
      <c r="I82" s="6">
        <v>0.0</v>
      </c>
      <c r="J82" s="6">
        <v>0.0</v>
      </c>
      <c r="K82" s="6">
        <v>25.0</v>
      </c>
      <c r="L82" s="6">
        <v>51.0</v>
      </c>
    </row>
    <row r="83">
      <c r="A83" s="6" t="s">
        <v>67</v>
      </c>
      <c r="B83" s="6" t="s">
        <v>45</v>
      </c>
      <c r="C83" s="6">
        <v>250.0</v>
      </c>
      <c r="D83" s="6">
        <v>845.0</v>
      </c>
      <c r="E83" s="6">
        <v>13.7</v>
      </c>
      <c r="F83" s="6">
        <v>74.0</v>
      </c>
      <c r="G83" s="10">
        <f t="shared" si="1"/>
        <v>3.378378378</v>
      </c>
      <c r="H83" s="6">
        <v>845.0</v>
      </c>
      <c r="I83" s="6">
        <v>0.0</v>
      </c>
      <c r="J83" s="6">
        <v>2.0</v>
      </c>
      <c r="K83" s="6">
        <v>14.0</v>
      </c>
      <c r="L83" s="6">
        <v>58.0</v>
      </c>
    </row>
    <row r="84">
      <c r="A84" s="6" t="s">
        <v>70</v>
      </c>
      <c r="B84" s="6" t="s">
        <v>45</v>
      </c>
      <c r="C84" s="6">
        <v>250.0</v>
      </c>
      <c r="D84" s="6">
        <v>853.0</v>
      </c>
      <c r="E84" s="6">
        <v>13.7</v>
      </c>
      <c r="F84" s="6">
        <v>74.0</v>
      </c>
      <c r="G84" s="10">
        <f t="shared" si="1"/>
        <v>3.378378378</v>
      </c>
      <c r="H84" s="6">
        <v>853.0</v>
      </c>
      <c r="I84" s="6">
        <v>0.0</v>
      </c>
      <c r="J84" s="6">
        <v>1.0</v>
      </c>
      <c r="K84" s="6">
        <v>20.0</v>
      </c>
      <c r="L84" s="6">
        <v>53.0</v>
      </c>
    </row>
    <row r="85">
      <c r="A85" s="6" t="s">
        <v>104</v>
      </c>
      <c r="B85" s="6" t="s">
        <v>45</v>
      </c>
      <c r="C85" s="6">
        <v>250.0</v>
      </c>
      <c r="D85" s="6">
        <v>847.0</v>
      </c>
      <c r="E85" s="6">
        <v>13.8</v>
      </c>
      <c r="F85" s="6">
        <v>74.0</v>
      </c>
      <c r="G85" s="10">
        <f t="shared" si="1"/>
        <v>3.378378378</v>
      </c>
      <c r="H85" s="6">
        <v>847.0</v>
      </c>
      <c r="I85" s="6">
        <v>0.0</v>
      </c>
      <c r="J85" s="6">
        <v>0.0</v>
      </c>
      <c r="K85" s="6">
        <v>18.0</v>
      </c>
      <c r="L85" s="6">
        <v>56.0</v>
      </c>
    </row>
    <row r="86">
      <c r="A86" s="6" t="s">
        <v>84</v>
      </c>
      <c r="B86" s="6" t="s">
        <v>45</v>
      </c>
      <c r="C86" s="6">
        <v>250.0</v>
      </c>
      <c r="D86" s="6">
        <v>858.0</v>
      </c>
      <c r="E86" s="6">
        <v>13.6</v>
      </c>
      <c r="F86" s="6">
        <v>74.0</v>
      </c>
      <c r="G86" s="10">
        <f t="shared" si="1"/>
        <v>3.378378378</v>
      </c>
      <c r="H86" s="6">
        <v>858.0</v>
      </c>
      <c r="I86" s="6">
        <v>0.0</v>
      </c>
      <c r="J86" s="6">
        <v>0.0</v>
      </c>
      <c r="K86" s="6">
        <v>16.0</v>
      </c>
      <c r="L86" s="6">
        <v>58.0</v>
      </c>
    </row>
    <row r="87">
      <c r="A87" s="6" t="s">
        <v>107</v>
      </c>
      <c r="B87" s="6" t="s">
        <v>45</v>
      </c>
      <c r="C87" s="6">
        <v>300.0</v>
      </c>
      <c r="D87" s="6">
        <v>981.0</v>
      </c>
      <c r="E87" s="6">
        <v>19.8</v>
      </c>
      <c r="F87" s="6">
        <v>89.0</v>
      </c>
      <c r="G87" s="10">
        <f t="shared" si="1"/>
        <v>3.370786517</v>
      </c>
      <c r="H87" s="6">
        <v>981.0</v>
      </c>
      <c r="I87" s="6">
        <v>0.0</v>
      </c>
      <c r="J87" s="6">
        <v>0.0</v>
      </c>
      <c r="K87" s="6">
        <v>14.0</v>
      </c>
      <c r="L87" s="6">
        <v>75.0</v>
      </c>
    </row>
    <row r="88">
      <c r="A88" s="6" t="s">
        <v>80</v>
      </c>
      <c r="B88" s="6" t="s">
        <v>45</v>
      </c>
      <c r="C88" s="6">
        <v>300.0</v>
      </c>
      <c r="D88" s="6">
        <v>963.0</v>
      </c>
      <c r="E88" s="6">
        <v>20.0</v>
      </c>
      <c r="F88" s="6">
        <v>91.0</v>
      </c>
      <c r="G88" s="10">
        <f t="shared" si="1"/>
        <v>3.296703297</v>
      </c>
      <c r="H88" s="6">
        <v>963.0</v>
      </c>
      <c r="I88" s="6">
        <v>0.0</v>
      </c>
      <c r="J88" s="6">
        <v>2.0</v>
      </c>
      <c r="K88" s="6">
        <v>18.0</v>
      </c>
      <c r="L88" s="6">
        <v>71.0</v>
      </c>
    </row>
    <row r="89">
      <c r="A89" s="6" t="s">
        <v>151</v>
      </c>
      <c r="B89" s="6" t="s">
        <v>45</v>
      </c>
      <c r="C89" s="6">
        <v>300.0</v>
      </c>
      <c r="D89" s="6">
        <v>943.0</v>
      </c>
      <c r="E89" s="6">
        <v>20.0</v>
      </c>
      <c r="F89" s="6">
        <v>94.0</v>
      </c>
      <c r="G89" s="10">
        <f t="shared" si="1"/>
        <v>3.191489362</v>
      </c>
      <c r="H89" s="6">
        <v>943.0</v>
      </c>
      <c r="I89" s="6">
        <v>0.0</v>
      </c>
      <c r="J89" s="6">
        <v>2.0</v>
      </c>
      <c r="K89" s="6">
        <v>24.0</v>
      </c>
      <c r="L89" s="6">
        <v>68.0</v>
      </c>
    </row>
    <row r="90">
      <c r="A90" s="6" t="s">
        <v>118</v>
      </c>
      <c r="B90" s="6" t="s">
        <v>45</v>
      </c>
      <c r="C90" s="6">
        <v>300.0</v>
      </c>
      <c r="D90" s="6">
        <v>1002.0</v>
      </c>
      <c r="E90" s="6">
        <v>20.0</v>
      </c>
      <c r="F90" s="6">
        <v>90.0</v>
      </c>
      <c r="G90" s="10">
        <f t="shared" si="1"/>
        <v>3.333333333</v>
      </c>
      <c r="H90" s="6">
        <v>1002.0</v>
      </c>
      <c r="I90" s="6">
        <v>0.0</v>
      </c>
      <c r="J90" s="6">
        <v>1.0</v>
      </c>
      <c r="K90" s="6">
        <v>17.0</v>
      </c>
      <c r="L90" s="6">
        <v>72.0</v>
      </c>
    </row>
    <row r="91">
      <c r="A91" s="6" t="s">
        <v>152</v>
      </c>
      <c r="B91" s="6" t="s">
        <v>45</v>
      </c>
      <c r="C91" s="6">
        <v>300.0</v>
      </c>
      <c r="D91" s="6">
        <v>954.0</v>
      </c>
      <c r="E91" s="6">
        <v>20.0</v>
      </c>
      <c r="F91" s="6">
        <v>91.0</v>
      </c>
      <c r="G91" s="10">
        <f t="shared" si="1"/>
        <v>3.296703297</v>
      </c>
      <c r="H91" s="6">
        <v>954.0</v>
      </c>
      <c r="I91" s="6">
        <v>0.0</v>
      </c>
      <c r="J91" s="6">
        <v>1.0</v>
      </c>
      <c r="K91" s="6">
        <v>13.0</v>
      </c>
      <c r="L91" s="6">
        <v>77.0</v>
      </c>
    </row>
    <row r="92">
      <c r="A92" s="6" t="s">
        <v>99</v>
      </c>
      <c r="B92" s="6" t="s">
        <v>45</v>
      </c>
      <c r="C92" s="6">
        <v>400.0</v>
      </c>
      <c r="D92" s="6">
        <v>1235.0</v>
      </c>
      <c r="E92" s="6">
        <v>37.1</v>
      </c>
      <c r="F92" s="6">
        <v>120.0</v>
      </c>
      <c r="G92" s="10">
        <f t="shared" si="1"/>
        <v>3.333333333</v>
      </c>
      <c r="H92" s="6">
        <v>1235.0</v>
      </c>
      <c r="I92" s="6">
        <v>0.0</v>
      </c>
      <c r="J92" s="6">
        <v>1.0</v>
      </c>
      <c r="K92" s="6">
        <v>16.0</v>
      </c>
      <c r="L92" s="6">
        <v>103.0</v>
      </c>
    </row>
    <row r="93">
      <c r="A93" s="6" t="s">
        <v>149</v>
      </c>
      <c r="B93" s="6" t="s">
        <v>45</v>
      </c>
      <c r="C93" s="6">
        <v>400.0</v>
      </c>
      <c r="D93" s="6">
        <v>1215.0</v>
      </c>
      <c r="E93" s="6">
        <v>37.2</v>
      </c>
      <c r="F93" s="6">
        <v>121.0</v>
      </c>
      <c r="G93" s="10">
        <f t="shared" si="1"/>
        <v>3.305785124</v>
      </c>
      <c r="H93" s="6">
        <v>1215.0</v>
      </c>
      <c r="I93" s="6">
        <v>0.0</v>
      </c>
      <c r="J93" s="6">
        <v>0.0</v>
      </c>
      <c r="K93" s="6">
        <v>19.0</v>
      </c>
      <c r="L93" s="6">
        <v>102.0</v>
      </c>
    </row>
    <row r="94">
      <c r="A94" s="6" t="s">
        <v>139</v>
      </c>
      <c r="B94" s="6" t="s">
        <v>45</v>
      </c>
      <c r="C94" s="6">
        <v>400.0</v>
      </c>
      <c r="D94" s="6">
        <v>1224.0</v>
      </c>
      <c r="E94" s="6">
        <v>37.2</v>
      </c>
      <c r="F94" s="6">
        <v>122.0</v>
      </c>
      <c r="G94" s="10">
        <f t="shared" si="1"/>
        <v>3.278688525</v>
      </c>
      <c r="H94" s="6">
        <v>1224.0</v>
      </c>
      <c r="I94" s="6">
        <v>0.0</v>
      </c>
      <c r="J94" s="6">
        <v>0.0</v>
      </c>
      <c r="K94" s="6">
        <v>15.0</v>
      </c>
      <c r="L94" s="6">
        <v>107.0</v>
      </c>
    </row>
    <row r="95">
      <c r="A95" s="6" t="s">
        <v>113</v>
      </c>
      <c r="B95" s="6" t="s">
        <v>45</v>
      </c>
      <c r="C95" s="6">
        <v>400.0</v>
      </c>
      <c r="D95" s="6">
        <v>1244.0</v>
      </c>
      <c r="E95" s="6">
        <v>36.7</v>
      </c>
      <c r="F95" s="6">
        <v>117.0</v>
      </c>
      <c r="G95" s="10">
        <f t="shared" si="1"/>
        <v>3.418803419</v>
      </c>
      <c r="H95" s="6">
        <v>1244.0</v>
      </c>
      <c r="I95" s="6">
        <v>0.0</v>
      </c>
      <c r="J95" s="6">
        <v>0.0</v>
      </c>
      <c r="K95" s="6">
        <v>13.0</v>
      </c>
      <c r="L95" s="6">
        <v>104.0</v>
      </c>
    </row>
    <row r="96">
      <c r="A96" s="6" t="s">
        <v>138</v>
      </c>
      <c r="B96" s="6" t="s">
        <v>45</v>
      </c>
      <c r="C96" s="6">
        <v>400.0</v>
      </c>
      <c r="D96" s="6">
        <v>1253.0</v>
      </c>
      <c r="E96" s="6">
        <v>37.3</v>
      </c>
      <c r="F96" s="6">
        <v>119.0</v>
      </c>
      <c r="G96" s="10">
        <f t="shared" si="1"/>
        <v>3.361344538</v>
      </c>
      <c r="H96" s="6">
        <v>1253.0</v>
      </c>
      <c r="I96" s="6">
        <v>0.0</v>
      </c>
      <c r="J96" s="6">
        <v>1.0</v>
      </c>
      <c r="K96" s="6">
        <v>18.0</v>
      </c>
      <c r="L96" s="6">
        <v>100.0</v>
      </c>
    </row>
    <row r="97">
      <c r="A97" s="6" t="s">
        <v>82</v>
      </c>
      <c r="B97" s="6" t="s">
        <v>45</v>
      </c>
      <c r="C97" s="6">
        <v>500.0</v>
      </c>
      <c r="D97" s="6">
        <v>1483.0</v>
      </c>
      <c r="E97" s="6">
        <v>61.6</v>
      </c>
      <c r="F97" s="6">
        <v>151.0</v>
      </c>
      <c r="G97" s="10">
        <f t="shared" si="1"/>
        <v>3.311258278</v>
      </c>
      <c r="H97" s="6">
        <v>1483.0</v>
      </c>
      <c r="I97" s="6">
        <v>0.0</v>
      </c>
      <c r="J97" s="6">
        <v>1.0</v>
      </c>
      <c r="K97" s="6">
        <v>14.0</v>
      </c>
      <c r="L97" s="6">
        <v>136.0</v>
      </c>
    </row>
    <row r="98">
      <c r="A98" s="6" t="s">
        <v>142</v>
      </c>
      <c r="B98" s="6" t="s">
        <v>45</v>
      </c>
      <c r="C98" s="6">
        <v>500.0</v>
      </c>
      <c r="D98" s="6">
        <v>1485.0</v>
      </c>
      <c r="E98" s="6">
        <v>60.8</v>
      </c>
      <c r="F98" s="6">
        <v>150.0</v>
      </c>
      <c r="G98" s="10">
        <f t="shared" si="1"/>
        <v>3.333333333</v>
      </c>
      <c r="H98" s="6">
        <v>1485.0</v>
      </c>
      <c r="I98" s="6">
        <v>0.0</v>
      </c>
      <c r="J98" s="6">
        <v>0.0</v>
      </c>
      <c r="K98" s="6">
        <v>21.0</v>
      </c>
      <c r="L98" s="6">
        <v>129.0</v>
      </c>
    </row>
    <row r="99">
      <c r="A99" s="6" t="s">
        <v>57</v>
      </c>
      <c r="B99" s="6" t="s">
        <v>45</v>
      </c>
      <c r="C99" s="6">
        <v>500.0</v>
      </c>
      <c r="D99" s="6">
        <v>1502.0</v>
      </c>
      <c r="E99" s="6">
        <v>62.2</v>
      </c>
      <c r="F99" s="6">
        <v>153.0</v>
      </c>
      <c r="G99" s="10">
        <f t="shared" si="1"/>
        <v>3.267973856</v>
      </c>
      <c r="H99" s="6">
        <v>1502.0</v>
      </c>
      <c r="I99" s="6">
        <v>0.0</v>
      </c>
      <c r="J99" s="6">
        <v>0.0</v>
      </c>
      <c r="K99" s="6">
        <v>15.0</v>
      </c>
      <c r="L99" s="6">
        <v>138.0</v>
      </c>
    </row>
    <row r="100">
      <c r="A100" s="6" t="s">
        <v>48</v>
      </c>
      <c r="B100" s="6" t="s">
        <v>45</v>
      </c>
      <c r="C100" s="6">
        <v>500.0</v>
      </c>
      <c r="D100" s="6">
        <v>1477.0</v>
      </c>
      <c r="E100" s="6">
        <v>60.7</v>
      </c>
      <c r="F100" s="6">
        <v>150.0</v>
      </c>
      <c r="G100" s="10">
        <f t="shared" si="1"/>
        <v>3.333333333</v>
      </c>
      <c r="H100" s="6">
        <v>1477.0</v>
      </c>
      <c r="I100" s="6">
        <v>0.0</v>
      </c>
      <c r="J100" s="6">
        <v>0.0</v>
      </c>
      <c r="K100" s="6">
        <v>18.0</v>
      </c>
      <c r="L100" s="6">
        <v>132.0</v>
      </c>
    </row>
    <row r="101">
      <c r="A101" s="6" t="s">
        <v>78</v>
      </c>
      <c r="B101" s="6" t="s">
        <v>45</v>
      </c>
      <c r="C101" s="6">
        <v>500.0</v>
      </c>
      <c r="D101" s="6">
        <v>1493.0</v>
      </c>
      <c r="E101" s="6">
        <v>61.7</v>
      </c>
      <c r="F101" s="6">
        <v>155.0</v>
      </c>
      <c r="G101" s="10">
        <f t="shared" si="1"/>
        <v>3.225806452</v>
      </c>
      <c r="H101" s="6">
        <v>1493.0</v>
      </c>
      <c r="I101" s="6">
        <v>0.0</v>
      </c>
      <c r="J101" s="6">
        <v>0.0</v>
      </c>
      <c r="K101" s="6">
        <v>17.0</v>
      </c>
      <c r="L101" s="6">
        <v>138.0</v>
      </c>
    </row>
    <row r="102">
      <c r="A102" s="6" t="s">
        <v>90</v>
      </c>
      <c r="B102" s="6" t="s">
        <v>45</v>
      </c>
      <c r="C102" s="6">
        <v>750.0</v>
      </c>
      <c r="D102" s="6">
        <v>2115.0</v>
      </c>
      <c r="E102" s="6">
        <v>147.8</v>
      </c>
      <c r="F102" s="6">
        <v>226.0</v>
      </c>
      <c r="G102" s="10">
        <f t="shared" si="1"/>
        <v>3.318584071</v>
      </c>
      <c r="H102" s="6">
        <v>2115.0</v>
      </c>
      <c r="I102" s="6">
        <v>0.0</v>
      </c>
      <c r="J102" s="6">
        <v>0.0</v>
      </c>
      <c r="K102" s="6">
        <v>18.0</v>
      </c>
      <c r="L102" s="6">
        <v>208.0</v>
      </c>
    </row>
    <row r="103">
      <c r="A103" s="6" t="s">
        <v>127</v>
      </c>
      <c r="B103" s="6" t="s">
        <v>45</v>
      </c>
      <c r="C103" s="6">
        <v>750.0</v>
      </c>
      <c r="D103" s="6">
        <v>2124.0</v>
      </c>
      <c r="E103" s="6">
        <v>147.1</v>
      </c>
      <c r="F103" s="6">
        <v>229.0</v>
      </c>
      <c r="G103" s="10">
        <f t="shared" si="1"/>
        <v>3.27510917</v>
      </c>
      <c r="H103" s="6">
        <v>2124.0</v>
      </c>
      <c r="I103" s="6">
        <v>0.0</v>
      </c>
      <c r="J103" s="6">
        <v>2.0</v>
      </c>
      <c r="K103" s="6">
        <v>20.0</v>
      </c>
      <c r="L103" s="6">
        <v>207.0</v>
      </c>
    </row>
    <row r="104">
      <c r="A104" s="6" t="s">
        <v>81</v>
      </c>
      <c r="B104" s="6" t="s">
        <v>45</v>
      </c>
      <c r="C104" s="6">
        <v>750.0</v>
      </c>
      <c r="D104" s="6">
        <v>2159.0</v>
      </c>
      <c r="E104" s="6">
        <v>146.3</v>
      </c>
      <c r="F104" s="6">
        <v>223.0</v>
      </c>
      <c r="G104" s="10">
        <f t="shared" si="1"/>
        <v>3.3632287</v>
      </c>
      <c r="H104" s="6">
        <v>2159.0</v>
      </c>
      <c r="I104" s="6">
        <v>0.0</v>
      </c>
      <c r="J104" s="6">
        <v>0.0</v>
      </c>
      <c r="K104" s="6">
        <v>17.0</v>
      </c>
      <c r="L104" s="6">
        <v>206.0</v>
      </c>
    </row>
    <row r="105">
      <c r="A105" s="6" t="s">
        <v>154</v>
      </c>
      <c r="B105" s="6" t="s">
        <v>45</v>
      </c>
      <c r="C105" s="6">
        <v>750.0</v>
      </c>
      <c r="D105" s="6">
        <v>2139.0</v>
      </c>
      <c r="E105" s="6">
        <v>146.8</v>
      </c>
      <c r="F105" s="6">
        <v>223.0</v>
      </c>
      <c r="G105" s="10">
        <f t="shared" si="1"/>
        <v>3.3632287</v>
      </c>
      <c r="H105" s="6">
        <v>2139.0</v>
      </c>
      <c r="I105" s="6">
        <v>0.0</v>
      </c>
      <c r="J105" s="6">
        <v>0.0</v>
      </c>
      <c r="K105" s="6">
        <v>16.0</v>
      </c>
      <c r="L105" s="6">
        <v>207.0</v>
      </c>
    </row>
    <row r="106">
      <c r="A106" s="6" t="s">
        <v>129</v>
      </c>
      <c r="B106" s="6" t="s">
        <v>45</v>
      </c>
      <c r="C106" s="6">
        <v>750.0</v>
      </c>
      <c r="D106" s="6">
        <v>2123.0</v>
      </c>
      <c r="E106" s="6">
        <v>147.6</v>
      </c>
      <c r="F106" s="6">
        <v>225.0</v>
      </c>
      <c r="G106" s="10">
        <f t="shared" si="1"/>
        <v>3.333333333</v>
      </c>
      <c r="H106" s="6">
        <v>2123.0</v>
      </c>
      <c r="I106" s="6">
        <v>0.0</v>
      </c>
      <c r="J106" s="6">
        <v>0.0</v>
      </c>
      <c r="K106" s="6">
        <v>11.0</v>
      </c>
      <c r="L106" s="6">
        <v>214.0</v>
      </c>
    </row>
    <row r="107">
      <c r="A107" s="6" t="s">
        <v>83</v>
      </c>
      <c r="B107" s="6" t="s">
        <v>45</v>
      </c>
      <c r="C107" s="6">
        <v>1000.0</v>
      </c>
      <c r="D107" s="6">
        <v>2473.0</v>
      </c>
      <c r="E107" s="6">
        <v>274.4</v>
      </c>
      <c r="F107" s="6">
        <v>304.0</v>
      </c>
      <c r="G107" s="10">
        <f t="shared" si="1"/>
        <v>3.289473684</v>
      </c>
      <c r="H107" s="6">
        <v>2473.0</v>
      </c>
      <c r="I107" s="6">
        <v>0.0</v>
      </c>
      <c r="J107" s="6">
        <v>0.0</v>
      </c>
      <c r="K107" s="6">
        <v>22.0</v>
      </c>
      <c r="L107" s="6">
        <v>282.0</v>
      </c>
    </row>
    <row r="108">
      <c r="A108" s="6" t="s">
        <v>144</v>
      </c>
      <c r="B108" s="6" t="s">
        <v>45</v>
      </c>
      <c r="C108" s="6">
        <v>1000.0</v>
      </c>
      <c r="D108" s="6">
        <v>2724.0</v>
      </c>
      <c r="E108" s="6">
        <v>275.9</v>
      </c>
      <c r="F108" s="6">
        <v>302.0</v>
      </c>
      <c r="G108" s="10">
        <f t="shared" si="1"/>
        <v>3.311258278</v>
      </c>
      <c r="H108" s="6">
        <v>2724.0</v>
      </c>
      <c r="I108" s="6">
        <v>0.0</v>
      </c>
      <c r="J108" s="6">
        <v>1.0</v>
      </c>
      <c r="K108" s="6">
        <v>12.0</v>
      </c>
      <c r="L108" s="6">
        <v>289.0</v>
      </c>
    </row>
    <row r="109">
      <c r="A109" s="6" t="s">
        <v>63</v>
      </c>
      <c r="B109" s="6" t="s">
        <v>45</v>
      </c>
      <c r="C109" s="6">
        <v>1000.0</v>
      </c>
      <c r="D109" s="6">
        <v>2629.0</v>
      </c>
      <c r="E109" s="6">
        <v>283.2</v>
      </c>
      <c r="F109" s="6">
        <v>305.0</v>
      </c>
      <c r="G109" s="10">
        <f t="shared" si="1"/>
        <v>3.278688525</v>
      </c>
      <c r="H109" s="6">
        <v>2629.0</v>
      </c>
      <c r="I109" s="6">
        <v>0.0</v>
      </c>
      <c r="J109" s="6">
        <v>1.0</v>
      </c>
      <c r="K109" s="6">
        <v>28.0</v>
      </c>
      <c r="L109" s="6">
        <v>276.0</v>
      </c>
    </row>
    <row r="110">
      <c r="A110" s="6" t="s">
        <v>79</v>
      </c>
      <c r="B110" s="6" t="s">
        <v>45</v>
      </c>
      <c r="C110" s="6">
        <v>1000.0</v>
      </c>
      <c r="D110" s="6">
        <v>2718.0</v>
      </c>
      <c r="E110" s="6">
        <v>280.6</v>
      </c>
      <c r="F110" s="6">
        <v>305.0</v>
      </c>
      <c r="G110" s="10">
        <f t="shared" si="1"/>
        <v>3.278688525</v>
      </c>
      <c r="H110" s="6">
        <v>2718.0</v>
      </c>
      <c r="I110" s="6">
        <v>0.0</v>
      </c>
      <c r="J110" s="6">
        <v>0.0</v>
      </c>
      <c r="K110" s="6">
        <v>15.0</v>
      </c>
      <c r="L110" s="6">
        <v>290.0</v>
      </c>
    </row>
    <row r="111">
      <c r="A111" s="6" t="s">
        <v>64</v>
      </c>
      <c r="B111" s="6" t="s">
        <v>45</v>
      </c>
      <c r="C111" s="6">
        <v>1000.0</v>
      </c>
      <c r="D111" s="6">
        <v>2722.0</v>
      </c>
      <c r="E111" s="6">
        <v>276.8</v>
      </c>
      <c r="F111" s="6">
        <v>300.0</v>
      </c>
      <c r="G111" s="10">
        <f t="shared" si="1"/>
        <v>3.333333333</v>
      </c>
      <c r="H111" s="6">
        <v>2722.0</v>
      </c>
      <c r="I111" s="6">
        <v>0.0</v>
      </c>
      <c r="J111" s="6">
        <v>0.0</v>
      </c>
      <c r="K111" s="6">
        <v>19.0</v>
      </c>
      <c r="L111" s="6">
        <v>281.0</v>
      </c>
    </row>
  </sheetData>
  <autoFilter ref="$A$1:$L$11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20.25"/>
    <col customWidth="1" min="5" max="5" width="14.0"/>
    <col customWidth="1" min="6" max="6" width="16.13"/>
    <col customWidth="1" min="7" max="7" width="14.0"/>
    <col customWidth="1" min="8" max="8" width="15.5"/>
    <col customWidth="1" min="9" max="9" width="18.63"/>
    <col customWidth="1" min="10" max="10" width="19.25"/>
  </cols>
  <sheetData>
    <row r="1">
      <c r="A1" s="7" t="s">
        <v>38</v>
      </c>
      <c r="B1" s="7" t="s">
        <v>39</v>
      </c>
      <c r="C1" s="7" t="s">
        <v>40</v>
      </c>
      <c r="D1" s="7" t="s">
        <v>164</v>
      </c>
      <c r="E1" s="7" t="s">
        <v>165</v>
      </c>
      <c r="F1" s="7" t="s">
        <v>166</v>
      </c>
      <c r="G1" s="7" t="s">
        <v>167</v>
      </c>
      <c r="H1" s="7" t="s">
        <v>168</v>
      </c>
      <c r="I1" s="7" t="s">
        <v>169</v>
      </c>
      <c r="J1" s="7" t="s">
        <v>170</v>
      </c>
    </row>
    <row r="2">
      <c r="A2" s="8" t="s">
        <v>93</v>
      </c>
      <c r="B2" s="8" t="s">
        <v>53</v>
      </c>
      <c r="C2" s="8">
        <v>10.0</v>
      </c>
      <c r="D2" s="8">
        <v>3.0</v>
      </c>
      <c r="E2" s="14" t="s">
        <v>171</v>
      </c>
      <c r="F2" s="8">
        <v>185.0</v>
      </c>
      <c r="G2" s="8">
        <v>185.0</v>
      </c>
      <c r="H2" s="9">
        <v>0.0</v>
      </c>
      <c r="I2" s="8">
        <v>0.0</v>
      </c>
      <c r="J2" s="8">
        <v>1.0</v>
      </c>
    </row>
    <row r="3">
      <c r="A3" s="8" t="s">
        <v>36</v>
      </c>
      <c r="B3" s="8" t="s">
        <v>53</v>
      </c>
      <c r="C3" s="8">
        <v>10.0</v>
      </c>
      <c r="D3" s="8">
        <v>3.0</v>
      </c>
      <c r="E3" s="14" t="s">
        <v>171</v>
      </c>
      <c r="F3" s="8">
        <v>159.0</v>
      </c>
      <c r="G3" s="8">
        <v>159.0</v>
      </c>
      <c r="H3" s="9">
        <v>0.0</v>
      </c>
      <c r="I3" s="8">
        <v>0.01</v>
      </c>
      <c r="J3" s="8">
        <v>1.0</v>
      </c>
    </row>
    <row r="4">
      <c r="A4" s="8" t="s">
        <v>55</v>
      </c>
      <c r="B4" s="8" t="s">
        <v>53</v>
      </c>
      <c r="C4" s="8">
        <v>15.0</v>
      </c>
      <c r="D4" s="8">
        <v>5.0</v>
      </c>
      <c r="E4" s="14" t="s">
        <v>171</v>
      </c>
      <c r="F4" s="8">
        <v>378.0</v>
      </c>
      <c r="G4" s="8">
        <v>378.0</v>
      </c>
      <c r="H4" s="9">
        <v>0.0</v>
      </c>
      <c r="I4" s="8">
        <v>0.07</v>
      </c>
      <c r="J4" s="8">
        <v>1.0</v>
      </c>
    </row>
    <row r="5">
      <c r="A5" s="8" t="s">
        <v>141</v>
      </c>
      <c r="B5" s="8" t="s">
        <v>53</v>
      </c>
      <c r="C5" s="8">
        <v>15.0</v>
      </c>
      <c r="D5" s="8">
        <v>4.0</v>
      </c>
      <c r="E5" s="14" t="s">
        <v>171</v>
      </c>
      <c r="F5" s="8">
        <v>247.0</v>
      </c>
      <c r="G5" s="8">
        <v>247.0</v>
      </c>
      <c r="H5" s="9">
        <v>0.0</v>
      </c>
      <c r="I5" s="8">
        <v>0.12</v>
      </c>
      <c r="J5" s="8">
        <v>79.0</v>
      </c>
    </row>
    <row r="6">
      <c r="A6" s="8" t="s">
        <v>109</v>
      </c>
      <c r="B6" s="8" t="s">
        <v>53</v>
      </c>
      <c r="C6" s="8">
        <v>20.0</v>
      </c>
      <c r="D6" s="8">
        <v>6.0</v>
      </c>
      <c r="E6" s="14" t="s">
        <v>171</v>
      </c>
      <c r="F6" s="8">
        <v>419.0</v>
      </c>
      <c r="G6" s="8">
        <v>419.0</v>
      </c>
      <c r="H6" s="9">
        <v>0.0</v>
      </c>
      <c r="I6" s="8">
        <v>0.26</v>
      </c>
      <c r="J6" s="8">
        <v>36.0</v>
      </c>
    </row>
    <row r="7">
      <c r="A7" s="8" t="s">
        <v>85</v>
      </c>
      <c r="B7" s="8" t="s">
        <v>53</v>
      </c>
      <c r="C7" s="8">
        <v>20.0</v>
      </c>
      <c r="D7" s="8">
        <v>7.0</v>
      </c>
      <c r="E7" s="14" t="s">
        <v>171</v>
      </c>
      <c r="F7" s="8">
        <v>363.0</v>
      </c>
      <c r="G7" s="8">
        <v>363.0</v>
      </c>
      <c r="H7" s="9">
        <v>0.0</v>
      </c>
      <c r="I7" s="8">
        <v>0.28</v>
      </c>
      <c r="J7" s="8">
        <v>1.0</v>
      </c>
    </row>
    <row r="8">
      <c r="A8" s="8" t="s">
        <v>105</v>
      </c>
      <c r="B8" s="8" t="s">
        <v>53</v>
      </c>
      <c r="C8" s="8">
        <v>25.0</v>
      </c>
      <c r="D8" s="8">
        <v>10.0</v>
      </c>
      <c r="E8" s="14" t="s">
        <v>171</v>
      </c>
      <c r="F8" s="8">
        <v>467.0</v>
      </c>
      <c r="G8" s="8">
        <v>467.0</v>
      </c>
      <c r="H8" s="9">
        <v>0.0</v>
      </c>
      <c r="I8" s="8">
        <v>1.09</v>
      </c>
      <c r="J8" s="8">
        <v>1268.0</v>
      </c>
    </row>
    <row r="9">
      <c r="A9" s="8" t="s">
        <v>126</v>
      </c>
      <c r="B9" s="8" t="s">
        <v>53</v>
      </c>
      <c r="C9" s="8">
        <v>30.0</v>
      </c>
      <c r="D9" s="8">
        <v>10.0</v>
      </c>
      <c r="E9" s="14" t="s">
        <v>171</v>
      </c>
      <c r="F9" s="8">
        <v>513.0</v>
      </c>
      <c r="G9" s="8">
        <v>513.0</v>
      </c>
      <c r="H9" s="9">
        <v>0.0</v>
      </c>
      <c r="I9" s="8">
        <v>1483.41</v>
      </c>
      <c r="J9" s="8">
        <v>2972201.0</v>
      </c>
    </row>
    <row r="10">
      <c r="A10" s="8" t="s">
        <v>65</v>
      </c>
      <c r="B10" s="8" t="s">
        <v>53</v>
      </c>
      <c r="C10" s="8">
        <v>30.0</v>
      </c>
      <c r="D10" s="8">
        <v>10.0</v>
      </c>
      <c r="E10" s="14" t="s">
        <v>171</v>
      </c>
      <c r="F10" s="8">
        <v>757.0</v>
      </c>
      <c r="G10" s="8">
        <v>757.0</v>
      </c>
      <c r="H10" s="9">
        <v>0.0</v>
      </c>
      <c r="I10" s="8">
        <v>779.79</v>
      </c>
      <c r="J10" s="8">
        <v>1061430.0</v>
      </c>
    </row>
    <row r="11">
      <c r="A11" s="8" t="s">
        <v>114</v>
      </c>
      <c r="B11" s="8" t="s">
        <v>53</v>
      </c>
      <c r="C11" s="8">
        <v>40.0</v>
      </c>
      <c r="D11" s="8">
        <v>13.0</v>
      </c>
      <c r="E11" s="14" t="s">
        <v>172</v>
      </c>
      <c r="F11" s="8">
        <v>881.0</v>
      </c>
      <c r="G11" s="8">
        <v>919.0</v>
      </c>
      <c r="H11" s="9">
        <v>4.3133</v>
      </c>
      <c r="I11" s="8">
        <v>3600.02</v>
      </c>
      <c r="J11" s="8">
        <v>1750283.0</v>
      </c>
    </row>
    <row r="12">
      <c r="A12" s="15" t="s">
        <v>69</v>
      </c>
      <c r="B12" s="15" t="s">
        <v>53</v>
      </c>
      <c r="C12" s="15">
        <v>50.0</v>
      </c>
      <c r="D12" s="15">
        <v>16.0</v>
      </c>
      <c r="E12" s="15" t="s">
        <v>172</v>
      </c>
      <c r="F12" s="15">
        <v>1105.0</v>
      </c>
      <c r="G12" s="15">
        <v>1214.0</v>
      </c>
      <c r="H12" s="16">
        <v>9.8643</v>
      </c>
      <c r="I12" s="15">
        <v>3600.02</v>
      </c>
      <c r="J12" s="15">
        <v>112109.0</v>
      </c>
    </row>
    <row r="13">
      <c r="A13" s="8" t="s">
        <v>150</v>
      </c>
      <c r="B13" s="8" t="s">
        <v>53</v>
      </c>
      <c r="C13" s="8">
        <v>50.0</v>
      </c>
      <c r="D13" s="8">
        <v>14.0</v>
      </c>
      <c r="E13" s="14" t="s">
        <v>172</v>
      </c>
      <c r="F13" s="8">
        <v>1302.0</v>
      </c>
      <c r="G13" s="8">
        <v>1421.0</v>
      </c>
      <c r="H13" s="9">
        <v>9.1398</v>
      </c>
      <c r="I13" s="8">
        <v>3600.0</v>
      </c>
      <c r="J13" s="8">
        <v>176543.0</v>
      </c>
    </row>
    <row r="14">
      <c r="A14" s="8" t="s">
        <v>123</v>
      </c>
      <c r="B14" s="8" t="s">
        <v>53</v>
      </c>
      <c r="C14" s="8">
        <v>75.0</v>
      </c>
      <c r="D14" s="8">
        <v>24.0</v>
      </c>
      <c r="E14" s="14" t="s">
        <v>172</v>
      </c>
      <c r="F14" s="8">
        <v>1327.0</v>
      </c>
      <c r="G14" s="8">
        <v>1497.0</v>
      </c>
      <c r="H14" s="9">
        <v>12.8109</v>
      </c>
      <c r="I14" s="8">
        <v>3600.02</v>
      </c>
      <c r="J14" s="8">
        <v>19332.0</v>
      </c>
    </row>
    <row r="15">
      <c r="A15" s="8" t="s">
        <v>61</v>
      </c>
      <c r="B15" s="8" t="s">
        <v>53</v>
      </c>
      <c r="C15" s="8">
        <v>100.0</v>
      </c>
      <c r="D15" s="8">
        <v>32.0</v>
      </c>
      <c r="E15" s="14" t="s">
        <v>172</v>
      </c>
      <c r="F15" s="8">
        <v>1189.0</v>
      </c>
      <c r="G15" s="8">
        <v>1435.0</v>
      </c>
      <c r="H15" s="9">
        <v>20.6897</v>
      </c>
      <c r="I15" s="8">
        <v>3611.01</v>
      </c>
      <c r="J15" s="8">
        <v>1517.0</v>
      </c>
    </row>
    <row r="16">
      <c r="A16" s="8" t="s">
        <v>100</v>
      </c>
      <c r="B16" s="8" t="s">
        <v>53</v>
      </c>
      <c r="C16" s="8">
        <v>100.0</v>
      </c>
      <c r="D16" s="8">
        <v>32.0</v>
      </c>
      <c r="E16" s="14" t="s">
        <v>172</v>
      </c>
      <c r="F16" s="8">
        <v>1611.0</v>
      </c>
      <c r="G16" s="8">
        <v>1865.0</v>
      </c>
      <c r="H16" s="9">
        <v>15.7666</v>
      </c>
      <c r="I16" s="8">
        <v>3600.04</v>
      </c>
      <c r="J16" s="8">
        <v>4601.0</v>
      </c>
    </row>
    <row r="17">
      <c r="A17" s="8" t="s">
        <v>94</v>
      </c>
      <c r="B17" s="8" t="s">
        <v>53</v>
      </c>
      <c r="C17" s="8">
        <v>150.0</v>
      </c>
      <c r="D17" s="8">
        <v>47.0</v>
      </c>
      <c r="E17" s="14" t="s">
        <v>172</v>
      </c>
      <c r="F17" s="8">
        <v>1524.0</v>
      </c>
      <c r="G17" s="8">
        <v>8658.0</v>
      </c>
      <c r="H17" s="9">
        <v>468.1102</v>
      </c>
      <c r="I17" s="8">
        <v>3600.2</v>
      </c>
      <c r="J17" s="8">
        <v>1.0</v>
      </c>
    </row>
    <row r="18">
      <c r="A18" s="6" t="s">
        <v>132</v>
      </c>
      <c r="B18" s="6" t="s">
        <v>53</v>
      </c>
      <c r="C18" s="8">
        <v>208.0</v>
      </c>
      <c r="D18" s="8">
        <v>66.0</v>
      </c>
      <c r="E18" s="14" t="s">
        <v>172</v>
      </c>
      <c r="F18" s="8">
        <v>1711.0</v>
      </c>
      <c r="G18" s="8">
        <v>1734.0</v>
      </c>
      <c r="H18" s="9">
        <v>493.2526</v>
      </c>
      <c r="I18" s="8">
        <v>3600.05</v>
      </c>
      <c r="J18" s="8">
        <v>1.0</v>
      </c>
    </row>
    <row r="19">
      <c r="A19" s="8" t="s">
        <v>125</v>
      </c>
      <c r="B19" s="8" t="s">
        <v>45</v>
      </c>
      <c r="C19" s="8">
        <v>10.0</v>
      </c>
      <c r="D19" s="8">
        <v>4.0</v>
      </c>
      <c r="E19" s="14" t="s">
        <v>171</v>
      </c>
      <c r="F19" s="8">
        <v>13.0</v>
      </c>
      <c r="G19" s="8">
        <v>13.0</v>
      </c>
      <c r="H19" s="9">
        <v>0.0</v>
      </c>
      <c r="I19" s="8">
        <v>0.01</v>
      </c>
      <c r="J19" s="8">
        <v>1.0</v>
      </c>
    </row>
    <row r="20">
      <c r="A20" s="8" t="s">
        <v>111</v>
      </c>
      <c r="B20" s="8" t="s">
        <v>45</v>
      </c>
      <c r="C20" s="8">
        <v>10.0</v>
      </c>
      <c r="D20" s="8">
        <v>4.0</v>
      </c>
      <c r="E20" s="14" t="s">
        <v>171</v>
      </c>
      <c r="F20" s="8">
        <v>12.0</v>
      </c>
      <c r="G20" s="8">
        <v>12.0</v>
      </c>
      <c r="H20" s="9">
        <v>0.0</v>
      </c>
      <c r="I20" s="8">
        <v>0.0</v>
      </c>
      <c r="J20" s="8">
        <v>1.0</v>
      </c>
    </row>
    <row r="21">
      <c r="A21" s="8" t="s">
        <v>133</v>
      </c>
      <c r="B21" s="8" t="s">
        <v>45</v>
      </c>
      <c r="C21" s="8">
        <v>10.0</v>
      </c>
      <c r="D21" s="8">
        <v>4.0</v>
      </c>
      <c r="E21" s="14" t="s">
        <v>171</v>
      </c>
      <c r="F21" s="8">
        <v>13.0</v>
      </c>
      <c r="G21" s="8">
        <v>13.0</v>
      </c>
      <c r="H21" s="9">
        <v>0.0</v>
      </c>
      <c r="I21" s="8">
        <v>0.0</v>
      </c>
      <c r="J21" s="8">
        <v>1.0</v>
      </c>
    </row>
    <row r="22">
      <c r="A22" s="8" t="s">
        <v>124</v>
      </c>
      <c r="B22" s="8" t="s">
        <v>45</v>
      </c>
      <c r="C22" s="8">
        <v>10.0</v>
      </c>
      <c r="D22" s="8">
        <v>4.0</v>
      </c>
      <c r="E22" s="14" t="s">
        <v>171</v>
      </c>
      <c r="F22" s="8">
        <v>13.0</v>
      </c>
      <c r="G22" s="8">
        <v>13.0</v>
      </c>
      <c r="H22" s="9">
        <v>0.0</v>
      </c>
      <c r="I22" s="8">
        <v>0.01</v>
      </c>
      <c r="J22" s="8">
        <v>1.0</v>
      </c>
    </row>
    <row r="23">
      <c r="A23" s="8" t="s">
        <v>49</v>
      </c>
      <c r="B23" s="8" t="s">
        <v>45</v>
      </c>
      <c r="C23" s="8">
        <v>10.0</v>
      </c>
      <c r="D23" s="8">
        <v>4.0</v>
      </c>
      <c r="E23" s="14" t="s">
        <v>171</v>
      </c>
      <c r="F23" s="8">
        <v>20.0</v>
      </c>
      <c r="G23" s="8">
        <v>20.0</v>
      </c>
      <c r="H23" s="9">
        <v>0.0</v>
      </c>
      <c r="I23" s="8">
        <v>0.01</v>
      </c>
      <c r="J23" s="8">
        <v>1.0</v>
      </c>
    </row>
    <row r="24">
      <c r="A24" s="8" t="s">
        <v>130</v>
      </c>
      <c r="B24" s="8" t="s">
        <v>45</v>
      </c>
      <c r="C24" s="8">
        <v>15.0</v>
      </c>
      <c r="D24" s="8">
        <v>5.0</v>
      </c>
      <c r="E24" s="14" t="s">
        <v>171</v>
      </c>
      <c r="F24" s="8">
        <v>20.0</v>
      </c>
      <c r="G24" s="8">
        <v>20.0</v>
      </c>
      <c r="H24" s="9">
        <v>0.0</v>
      </c>
      <c r="I24" s="8">
        <v>0.01</v>
      </c>
      <c r="J24" s="8">
        <v>1.0</v>
      </c>
    </row>
    <row r="25">
      <c r="A25" s="8" t="s">
        <v>140</v>
      </c>
      <c r="B25" s="8" t="s">
        <v>45</v>
      </c>
      <c r="C25" s="8">
        <v>15.0</v>
      </c>
      <c r="D25" s="8">
        <v>5.0</v>
      </c>
      <c r="E25" s="14" t="s">
        <v>171</v>
      </c>
      <c r="F25" s="8">
        <v>18.0</v>
      </c>
      <c r="G25" s="8">
        <v>18.0</v>
      </c>
      <c r="H25" s="9">
        <v>0.0</v>
      </c>
      <c r="I25" s="8">
        <v>0.07</v>
      </c>
      <c r="J25" s="8">
        <v>35.0</v>
      </c>
    </row>
    <row r="26">
      <c r="A26" s="8" t="s">
        <v>60</v>
      </c>
      <c r="B26" s="8" t="s">
        <v>45</v>
      </c>
      <c r="C26" s="8">
        <v>15.0</v>
      </c>
      <c r="D26" s="8">
        <v>5.0</v>
      </c>
      <c r="E26" s="14" t="s">
        <v>171</v>
      </c>
      <c r="F26" s="8">
        <v>19.0</v>
      </c>
      <c r="G26" s="8">
        <v>19.0</v>
      </c>
      <c r="H26" s="9">
        <v>0.0</v>
      </c>
      <c r="I26" s="8">
        <v>0.01</v>
      </c>
      <c r="J26" s="8">
        <v>1.0</v>
      </c>
    </row>
    <row r="27">
      <c r="A27" s="8" t="s">
        <v>59</v>
      </c>
      <c r="B27" s="8" t="s">
        <v>45</v>
      </c>
      <c r="C27" s="8">
        <v>15.0</v>
      </c>
      <c r="D27" s="8">
        <v>5.0</v>
      </c>
      <c r="E27" s="14" t="s">
        <v>171</v>
      </c>
      <c r="F27" s="8">
        <v>23.0</v>
      </c>
      <c r="G27" s="8">
        <v>23.0</v>
      </c>
      <c r="H27" s="9">
        <v>0.0</v>
      </c>
      <c r="I27" s="8">
        <v>0.02</v>
      </c>
      <c r="J27" s="8">
        <v>1.0</v>
      </c>
    </row>
    <row r="28">
      <c r="A28" s="8" t="s">
        <v>50</v>
      </c>
      <c r="B28" s="8" t="s">
        <v>45</v>
      </c>
      <c r="C28" s="8">
        <v>15.0</v>
      </c>
      <c r="D28" s="8">
        <v>5.0</v>
      </c>
      <c r="E28" s="14" t="s">
        <v>171</v>
      </c>
      <c r="F28" s="8">
        <v>22.0</v>
      </c>
      <c r="G28" s="8">
        <v>22.0</v>
      </c>
      <c r="H28" s="9">
        <v>0.0</v>
      </c>
      <c r="I28" s="8">
        <v>0.01</v>
      </c>
      <c r="J28" s="8">
        <v>1.0</v>
      </c>
    </row>
    <row r="29">
      <c r="A29" s="8" t="s">
        <v>95</v>
      </c>
      <c r="B29" s="8" t="s">
        <v>45</v>
      </c>
      <c r="C29" s="8">
        <v>20.0</v>
      </c>
      <c r="D29" s="8">
        <v>6.0</v>
      </c>
      <c r="E29" s="14" t="s">
        <v>171</v>
      </c>
      <c r="F29" s="8">
        <v>34.0</v>
      </c>
      <c r="G29" s="8">
        <v>34.0</v>
      </c>
      <c r="H29" s="9">
        <v>0.0</v>
      </c>
      <c r="I29" s="8">
        <v>0.14</v>
      </c>
      <c r="J29" s="8">
        <v>1.0</v>
      </c>
    </row>
    <row r="30">
      <c r="A30" s="8" t="s">
        <v>73</v>
      </c>
      <c r="B30" s="8" t="s">
        <v>45</v>
      </c>
      <c r="C30" s="8">
        <v>20.0</v>
      </c>
      <c r="D30" s="8">
        <v>6.0</v>
      </c>
      <c r="E30" s="14" t="s">
        <v>171</v>
      </c>
      <c r="F30" s="8">
        <v>31.0</v>
      </c>
      <c r="G30" s="8">
        <v>31.0</v>
      </c>
      <c r="H30" s="9">
        <v>0.0</v>
      </c>
      <c r="I30" s="8">
        <v>0.11</v>
      </c>
      <c r="J30" s="8">
        <v>112.0</v>
      </c>
    </row>
    <row r="31">
      <c r="A31" s="8" t="s">
        <v>46</v>
      </c>
      <c r="B31" s="8" t="s">
        <v>45</v>
      </c>
      <c r="C31" s="8">
        <v>20.0</v>
      </c>
      <c r="D31" s="8">
        <v>6.0</v>
      </c>
      <c r="E31" s="14" t="s">
        <v>171</v>
      </c>
      <c r="F31" s="8">
        <v>25.0</v>
      </c>
      <c r="G31" s="8">
        <v>25.0</v>
      </c>
      <c r="H31" s="9">
        <v>0.0</v>
      </c>
      <c r="I31" s="8">
        <v>0.06</v>
      </c>
      <c r="J31" s="8">
        <v>86.0</v>
      </c>
    </row>
    <row r="32">
      <c r="A32" s="8" t="s">
        <v>103</v>
      </c>
      <c r="B32" s="8" t="s">
        <v>45</v>
      </c>
      <c r="C32" s="8">
        <v>20.0</v>
      </c>
      <c r="D32" s="8">
        <v>7.0</v>
      </c>
      <c r="E32" s="14" t="s">
        <v>171</v>
      </c>
      <c r="F32" s="8">
        <v>26.0</v>
      </c>
      <c r="G32" s="8">
        <v>26.0</v>
      </c>
      <c r="H32" s="9">
        <v>0.0</v>
      </c>
      <c r="I32" s="8">
        <v>0.27</v>
      </c>
      <c r="J32" s="8">
        <v>765.0</v>
      </c>
    </row>
    <row r="33">
      <c r="A33" s="8" t="s">
        <v>131</v>
      </c>
      <c r="B33" s="8" t="s">
        <v>45</v>
      </c>
      <c r="C33" s="8">
        <v>20.0</v>
      </c>
      <c r="D33" s="8">
        <v>7.0</v>
      </c>
      <c r="E33" s="14" t="s">
        <v>171</v>
      </c>
      <c r="F33" s="8">
        <v>35.0</v>
      </c>
      <c r="G33" s="8">
        <v>35.0</v>
      </c>
      <c r="H33" s="9">
        <v>0.0</v>
      </c>
      <c r="I33" s="8">
        <v>0.2</v>
      </c>
      <c r="J33" s="8">
        <v>164.0</v>
      </c>
    </row>
    <row r="34">
      <c r="A34" s="8" t="s">
        <v>115</v>
      </c>
      <c r="B34" s="8" t="s">
        <v>45</v>
      </c>
      <c r="C34" s="8">
        <v>25.0</v>
      </c>
      <c r="D34" s="8">
        <v>8.0</v>
      </c>
      <c r="E34" s="14" t="s">
        <v>171</v>
      </c>
      <c r="F34" s="8">
        <v>34.0</v>
      </c>
      <c r="G34" s="8">
        <v>34.0</v>
      </c>
      <c r="H34" s="9">
        <v>0.0</v>
      </c>
      <c r="I34" s="8">
        <v>0.27</v>
      </c>
      <c r="J34" s="8">
        <v>139.0</v>
      </c>
    </row>
    <row r="35">
      <c r="A35" s="8" t="s">
        <v>71</v>
      </c>
      <c r="B35" s="8" t="s">
        <v>45</v>
      </c>
      <c r="C35" s="8">
        <v>25.0</v>
      </c>
      <c r="D35" s="8">
        <v>8.0</v>
      </c>
      <c r="E35" s="14" t="s">
        <v>171</v>
      </c>
      <c r="F35" s="8">
        <v>44.0</v>
      </c>
      <c r="G35" s="8">
        <v>44.0</v>
      </c>
      <c r="H35" s="9">
        <v>0.0</v>
      </c>
      <c r="I35" s="8">
        <v>0.9</v>
      </c>
      <c r="J35" s="8">
        <v>2115.0</v>
      </c>
    </row>
    <row r="36">
      <c r="A36" s="8" t="s">
        <v>87</v>
      </c>
      <c r="B36" s="8" t="s">
        <v>45</v>
      </c>
      <c r="C36" s="8">
        <v>25.0</v>
      </c>
      <c r="D36" s="8">
        <v>8.0</v>
      </c>
      <c r="E36" s="14" t="s">
        <v>171</v>
      </c>
      <c r="F36" s="8">
        <v>41.0</v>
      </c>
      <c r="G36" s="8">
        <v>41.0</v>
      </c>
      <c r="H36" s="9">
        <v>0.0</v>
      </c>
      <c r="I36" s="8">
        <v>0.32</v>
      </c>
      <c r="J36" s="8">
        <v>1.0</v>
      </c>
    </row>
    <row r="37">
      <c r="A37" s="8" t="s">
        <v>44</v>
      </c>
      <c r="B37" s="8" t="s">
        <v>45</v>
      </c>
      <c r="C37" s="8">
        <v>25.0</v>
      </c>
      <c r="D37" s="8">
        <v>9.0</v>
      </c>
      <c r="E37" s="14" t="s">
        <v>171</v>
      </c>
      <c r="F37" s="8">
        <v>43.0</v>
      </c>
      <c r="G37" s="8">
        <v>43.0</v>
      </c>
      <c r="H37" s="9">
        <v>0.0</v>
      </c>
      <c r="I37" s="8">
        <v>0.65</v>
      </c>
      <c r="J37" s="8">
        <v>1676.0</v>
      </c>
    </row>
    <row r="38">
      <c r="A38" s="8" t="s">
        <v>134</v>
      </c>
      <c r="B38" s="8" t="s">
        <v>45</v>
      </c>
      <c r="C38" s="8">
        <v>25.0</v>
      </c>
      <c r="D38" s="8">
        <v>8.0</v>
      </c>
      <c r="E38" s="14" t="s">
        <v>171</v>
      </c>
      <c r="F38" s="8">
        <v>45.0</v>
      </c>
      <c r="G38" s="8">
        <v>45.0</v>
      </c>
      <c r="H38" s="9">
        <v>0.0</v>
      </c>
      <c r="I38" s="8">
        <v>0.55</v>
      </c>
      <c r="J38" s="8">
        <v>858.0</v>
      </c>
    </row>
    <row r="39">
      <c r="A39" s="8" t="s">
        <v>153</v>
      </c>
      <c r="B39" s="8" t="s">
        <v>45</v>
      </c>
      <c r="C39" s="8">
        <v>30.0</v>
      </c>
      <c r="D39" s="8">
        <v>8.0</v>
      </c>
      <c r="E39" s="14" t="s">
        <v>171</v>
      </c>
      <c r="F39" s="8">
        <v>54.0</v>
      </c>
      <c r="G39" s="8">
        <v>54.0</v>
      </c>
      <c r="H39" s="9">
        <v>0.0</v>
      </c>
      <c r="I39" s="8">
        <v>7.47</v>
      </c>
      <c r="J39" s="8">
        <v>23853.0</v>
      </c>
    </row>
    <row r="40">
      <c r="A40" s="8" t="s">
        <v>51</v>
      </c>
      <c r="B40" s="8" t="s">
        <v>45</v>
      </c>
      <c r="C40" s="8">
        <v>30.0</v>
      </c>
      <c r="D40" s="8">
        <v>9.0</v>
      </c>
      <c r="E40" s="14" t="s">
        <v>171</v>
      </c>
      <c r="F40" s="8">
        <v>59.0</v>
      </c>
      <c r="G40" s="8">
        <v>59.0</v>
      </c>
      <c r="H40" s="9">
        <v>0.0</v>
      </c>
      <c r="I40" s="8">
        <v>7.86</v>
      </c>
      <c r="J40" s="8">
        <v>14734.0</v>
      </c>
    </row>
    <row r="41">
      <c r="A41" s="8" t="s">
        <v>96</v>
      </c>
      <c r="B41" s="8" t="s">
        <v>45</v>
      </c>
      <c r="C41" s="8">
        <v>30.0</v>
      </c>
      <c r="D41" s="8">
        <v>10.0</v>
      </c>
      <c r="E41" s="14" t="s">
        <v>171</v>
      </c>
      <c r="F41" s="8">
        <v>64.0</v>
      </c>
      <c r="G41" s="8">
        <v>64.0</v>
      </c>
      <c r="H41" s="9">
        <v>0.0</v>
      </c>
      <c r="I41" s="8">
        <v>6.17</v>
      </c>
      <c r="J41" s="8">
        <v>8244.0</v>
      </c>
    </row>
    <row r="42">
      <c r="A42" s="8" t="s">
        <v>106</v>
      </c>
      <c r="B42" s="8" t="s">
        <v>45</v>
      </c>
      <c r="C42" s="8">
        <v>30.0</v>
      </c>
      <c r="D42" s="8">
        <v>9.0</v>
      </c>
      <c r="E42" s="14" t="s">
        <v>171</v>
      </c>
      <c r="F42" s="8">
        <v>62.0</v>
      </c>
      <c r="G42" s="8">
        <v>62.0</v>
      </c>
      <c r="H42" s="9">
        <v>0.0</v>
      </c>
      <c r="I42" s="8">
        <v>8.08</v>
      </c>
      <c r="J42" s="8">
        <v>20851.0</v>
      </c>
    </row>
    <row r="43">
      <c r="A43" s="8" t="s">
        <v>91</v>
      </c>
      <c r="B43" s="8" t="s">
        <v>45</v>
      </c>
      <c r="C43" s="8">
        <v>30.0</v>
      </c>
      <c r="D43" s="8">
        <v>9.0</v>
      </c>
      <c r="E43" s="14" t="s">
        <v>171</v>
      </c>
      <c r="F43" s="8">
        <v>58.0</v>
      </c>
      <c r="G43" s="8">
        <v>58.0</v>
      </c>
      <c r="H43" s="9">
        <v>0.0</v>
      </c>
      <c r="I43" s="8">
        <v>11.14</v>
      </c>
      <c r="J43" s="8">
        <v>10444.0</v>
      </c>
    </row>
    <row r="44">
      <c r="A44" s="8" t="s">
        <v>66</v>
      </c>
      <c r="B44" s="8" t="s">
        <v>45</v>
      </c>
      <c r="C44" s="8">
        <v>40.0</v>
      </c>
      <c r="D44" s="8">
        <v>12.0</v>
      </c>
      <c r="E44" s="14" t="s">
        <v>171</v>
      </c>
      <c r="F44" s="8">
        <v>88.0</v>
      </c>
      <c r="G44" s="8">
        <v>88.0</v>
      </c>
      <c r="H44" s="9">
        <v>0.0</v>
      </c>
      <c r="I44" s="8">
        <v>760.32</v>
      </c>
      <c r="J44" s="8">
        <v>534403.0</v>
      </c>
    </row>
    <row r="45">
      <c r="A45" s="8" t="s">
        <v>75</v>
      </c>
      <c r="B45" s="8" t="s">
        <v>45</v>
      </c>
      <c r="C45" s="8">
        <v>40.0</v>
      </c>
      <c r="D45" s="8">
        <v>12.0</v>
      </c>
      <c r="E45" s="14" t="s">
        <v>171</v>
      </c>
      <c r="F45" s="8">
        <v>82.0</v>
      </c>
      <c r="G45" s="8">
        <v>82.0</v>
      </c>
      <c r="H45" s="9">
        <v>0.0</v>
      </c>
      <c r="I45" s="8">
        <v>2757.88</v>
      </c>
      <c r="J45" s="8">
        <v>2216435.0</v>
      </c>
    </row>
    <row r="46">
      <c r="A46" s="8" t="s">
        <v>58</v>
      </c>
      <c r="B46" s="8" t="s">
        <v>45</v>
      </c>
      <c r="C46" s="8">
        <v>40.0</v>
      </c>
      <c r="D46" s="8">
        <v>13.0</v>
      </c>
      <c r="E46" s="14" t="s">
        <v>171</v>
      </c>
      <c r="F46" s="8">
        <v>91.0</v>
      </c>
      <c r="G46" s="8">
        <v>91.0</v>
      </c>
      <c r="H46" s="9">
        <v>0.0</v>
      </c>
      <c r="I46" s="8">
        <v>1987.99</v>
      </c>
      <c r="J46" s="8">
        <v>1243943.0</v>
      </c>
    </row>
    <row r="47">
      <c r="A47" s="8" t="s">
        <v>108</v>
      </c>
      <c r="B47" s="8" t="s">
        <v>45</v>
      </c>
      <c r="C47" s="8">
        <v>40.0</v>
      </c>
      <c r="D47" s="8">
        <v>13.0</v>
      </c>
      <c r="E47" s="14" t="s">
        <v>172</v>
      </c>
      <c r="F47" s="8">
        <v>93.0</v>
      </c>
      <c r="G47" s="8">
        <v>99.0</v>
      </c>
      <c r="H47" s="9">
        <v>6.4516</v>
      </c>
      <c r="I47" s="8">
        <v>3600.01</v>
      </c>
      <c r="J47" s="8">
        <v>1840750.0</v>
      </c>
    </row>
    <row r="48">
      <c r="A48" s="8" t="s">
        <v>122</v>
      </c>
      <c r="B48" s="8" t="s">
        <v>45</v>
      </c>
      <c r="C48" s="8">
        <v>40.0</v>
      </c>
      <c r="D48" s="8">
        <v>14.0</v>
      </c>
      <c r="E48" s="14" t="s">
        <v>171</v>
      </c>
      <c r="F48" s="8">
        <v>92.0</v>
      </c>
      <c r="G48" s="8">
        <v>92.0</v>
      </c>
      <c r="H48" s="9">
        <v>0.0</v>
      </c>
      <c r="I48" s="8">
        <v>33.44</v>
      </c>
      <c r="J48" s="8">
        <v>8717.0</v>
      </c>
    </row>
    <row r="49">
      <c r="A49" s="8" t="s">
        <v>88</v>
      </c>
      <c r="B49" s="8" t="s">
        <v>45</v>
      </c>
      <c r="C49" s="8">
        <v>50.0</v>
      </c>
      <c r="D49" s="8">
        <v>16.0</v>
      </c>
      <c r="E49" s="14" t="s">
        <v>172</v>
      </c>
      <c r="F49" s="8">
        <v>115.0</v>
      </c>
      <c r="G49" s="8">
        <v>125.0</v>
      </c>
      <c r="H49" s="9">
        <v>8.6957</v>
      </c>
      <c r="I49" s="8">
        <v>3600.01</v>
      </c>
      <c r="J49" s="8">
        <v>562394.0</v>
      </c>
    </row>
    <row r="50">
      <c r="A50" s="8" t="s">
        <v>135</v>
      </c>
      <c r="B50" s="8" t="s">
        <v>45</v>
      </c>
      <c r="C50" s="8">
        <v>50.0</v>
      </c>
      <c r="D50" s="8">
        <v>14.0</v>
      </c>
      <c r="E50" s="14" t="s">
        <v>172</v>
      </c>
      <c r="F50" s="8">
        <v>124.0</v>
      </c>
      <c r="G50" s="8">
        <v>140.0</v>
      </c>
      <c r="H50" s="9">
        <v>12.9032</v>
      </c>
      <c r="I50" s="8">
        <v>3600.01</v>
      </c>
      <c r="J50" s="8">
        <v>517597.0</v>
      </c>
    </row>
    <row r="51">
      <c r="A51" s="8" t="s">
        <v>54</v>
      </c>
      <c r="B51" s="8" t="s">
        <v>45</v>
      </c>
      <c r="C51" s="8">
        <v>50.0</v>
      </c>
      <c r="D51" s="8">
        <v>16.0</v>
      </c>
      <c r="E51" s="14" t="s">
        <v>172</v>
      </c>
      <c r="F51" s="8">
        <v>122.0</v>
      </c>
      <c r="G51" s="8">
        <v>131.0</v>
      </c>
      <c r="H51" s="9">
        <v>7.377</v>
      </c>
      <c r="I51" s="8">
        <v>3600.01</v>
      </c>
      <c r="J51" s="8">
        <v>537380.0</v>
      </c>
    </row>
    <row r="52">
      <c r="A52" s="8" t="s">
        <v>148</v>
      </c>
      <c r="B52" s="8" t="s">
        <v>45</v>
      </c>
      <c r="C52" s="8">
        <v>50.0</v>
      </c>
      <c r="D52" s="8">
        <v>16.0</v>
      </c>
      <c r="E52" s="14" t="s">
        <v>172</v>
      </c>
      <c r="F52" s="8">
        <v>116.0</v>
      </c>
      <c r="G52" s="8">
        <v>149.0</v>
      </c>
      <c r="H52" s="9">
        <v>28.4483</v>
      </c>
      <c r="I52" s="8">
        <v>3600.01</v>
      </c>
      <c r="J52" s="8">
        <v>465755.0</v>
      </c>
    </row>
    <row r="53">
      <c r="A53" s="8" t="s">
        <v>76</v>
      </c>
      <c r="B53" s="8" t="s">
        <v>45</v>
      </c>
      <c r="C53" s="8">
        <v>50.0</v>
      </c>
      <c r="D53" s="8">
        <v>16.0</v>
      </c>
      <c r="E53" s="14" t="s">
        <v>172</v>
      </c>
      <c r="F53" s="8">
        <v>127.0</v>
      </c>
      <c r="G53" s="8">
        <v>135.0</v>
      </c>
      <c r="H53" s="9">
        <v>6.2992</v>
      </c>
      <c r="I53" s="8">
        <v>3600.01</v>
      </c>
      <c r="J53" s="8">
        <v>878053.0</v>
      </c>
    </row>
    <row r="54">
      <c r="A54" s="8" t="s">
        <v>62</v>
      </c>
      <c r="B54" s="8" t="s">
        <v>45</v>
      </c>
      <c r="C54" s="8">
        <v>75.0</v>
      </c>
      <c r="D54" s="8">
        <v>22.0</v>
      </c>
      <c r="E54" s="14" t="s">
        <v>172</v>
      </c>
      <c r="F54" s="8">
        <v>215.0</v>
      </c>
      <c r="G54" s="8">
        <v>279.0</v>
      </c>
      <c r="H54" s="9">
        <v>29.7674</v>
      </c>
      <c r="I54" s="8">
        <v>3600.02</v>
      </c>
      <c r="J54" s="8">
        <v>4646.0</v>
      </c>
    </row>
    <row r="55">
      <c r="A55" s="8" t="s">
        <v>72</v>
      </c>
      <c r="B55" s="8" t="s">
        <v>45</v>
      </c>
      <c r="C55" s="8">
        <v>75.0</v>
      </c>
      <c r="D55" s="8">
        <v>25.0</v>
      </c>
      <c r="E55" s="14" t="s">
        <v>172</v>
      </c>
      <c r="F55" s="8">
        <v>184.0</v>
      </c>
      <c r="G55" s="8">
        <v>235.0</v>
      </c>
      <c r="H55" s="9">
        <v>27.7174</v>
      </c>
      <c r="I55" s="8">
        <v>3600.01</v>
      </c>
      <c r="J55" s="8">
        <v>4738.0</v>
      </c>
    </row>
    <row r="56">
      <c r="A56" s="8" t="s">
        <v>74</v>
      </c>
      <c r="B56" s="8" t="s">
        <v>45</v>
      </c>
      <c r="C56" s="8">
        <v>75.0</v>
      </c>
      <c r="D56" s="8">
        <v>24.0</v>
      </c>
      <c r="E56" s="14" t="s">
        <v>172</v>
      </c>
      <c r="F56" s="8">
        <v>195.0</v>
      </c>
      <c r="G56" s="8">
        <v>253.0</v>
      </c>
      <c r="H56" s="9">
        <v>29.7436</v>
      </c>
      <c r="I56" s="8">
        <v>3600.01</v>
      </c>
      <c r="J56" s="8">
        <v>5249.0</v>
      </c>
    </row>
    <row r="57">
      <c r="A57" s="8" t="s">
        <v>120</v>
      </c>
      <c r="B57" s="8" t="s">
        <v>45</v>
      </c>
      <c r="C57" s="8">
        <v>75.0</v>
      </c>
      <c r="D57" s="8">
        <v>23.0</v>
      </c>
      <c r="E57" s="14" t="s">
        <v>172</v>
      </c>
      <c r="F57" s="8">
        <v>180.0</v>
      </c>
      <c r="G57" s="8">
        <v>250.0</v>
      </c>
      <c r="H57" s="9">
        <v>38.8889</v>
      </c>
      <c r="I57" s="8">
        <v>3600.01</v>
      </c>
      <c r="J57" s="8">
        <v>13149.0</v>
      </c>
    </row>
    <row r="58">
      <c r="A58" s="8" t="s">
        <v>119</v>
      </c>
      <c r="B58" s="8" t="s">
        <v>45</v>
      </c>
      <c r="C58" s="8">
        <v>75.0</v>
      </c>
      <c r="D58" s="8">
        <v>23.0</v>
      </c>
      <c r="E58" s="14" t="s">
        <v>172</v>
      </c>
      <c r="F58" s="8">
        <v>194.0</v>
      </c>
      <c r="G58" s="8">
        <v>256.0</v>
      </c>
      <c r="H58" s="9">
        <v>31.9588</v>
      </c>
      <c r="I58" s="8">
        <v>3600.01</v>
      </c>
      <c r="J58" s="8">
        <v>9584.0</v>
      </c>
    </row>
    <row r="59">
      <c r="A59" s="8" t="s">
        <v>101</v>
      </c>
      <c r="B59" s="8" t="s">
        <v>45</v>
      </c>
      <c r="C59" s="8">
        <v>100.0</v>
      </c>
      <c r="D59" s="8">
        <v>29.0</v>
      </c>
      <c r="E59" s="14" t="s">
        <v>172</v>
      </c>
      <c r="F59" s="8">
        <v>293.0</v>
      </c>
      <c r="G59" s="8">
        <v>419.0</v>
      </c>
      <c r="H59" s="9">
        <v>43.0034</v>
      </c>
      <c r="I59" s="8">
        <v>3631.57</v>
      </c>
      <c r="J59" s="8">
        <v>1567.0</v>
      </c>
    </row>
    <row r="60">
      <c r="A60" s="8" t="s">
        <v>117</v>
      </c>
      <c r="B60" s="8" t="s">
        <v>45</v>
      </c>
      <c r="C60" s="8">
        <v>100.0</v>
      </c>
      <c r="D60" s="8">
        <v>33.0</v>
      </c>
      <c r="E60" s="14" t="s">
        <v>172</v>
      </c>
      <c r="F60" s="8">
        <v>271.0</v>
      </c>
      <c r="G60" s="8">
        <v>375.0</v>
      </c>
      <c r="H60" s="9">
        <v>38.3764</v>
      </c>
      <c r="I60" s="8">
        <v>3600.02</v>
      </c>
      <c r="J60" s="8">
        <v>1456.0</v>
      </c>
    </row>
    <row r="61">
      <c r="A61" s="8" t="s">
        <v>98</v>
      </c>
      <c r="B61" s="8" t="s">
        <v>45</v>
      </c>
      <c r="C61" s="8">
        <v>100.0</v>
      </c>
      <c r="D61" s="8">
        <v>30.0</v>
      </c>
      <c r="E61" s="14" t="s">
        <v>172</v>
      </c>
      <c r="F61" s="8">
        <v>290.0</v>
      </c>
      <c r="G61" s="8">
        <v>406.0</v>
      </c>
      <c r="H61" s="9">
        <v>40.0</v>
      </c>
      <c r="I61" s="8">
        <v>3600.0</v>
      </c>
      <c r="J61" s="8">
        <v>1540.0</v>
      </c>
    </row>
    <row r="62">
      <c r="A62" s="8" t="s">
        <v>143</v>
      </c>
      <c r="B62" s="8" t="s">
        <v>45</v>
      </c>
      <c r="C62" s="8">
        <v>100.0</v>
      </c>
      <c r="D62" s="8">
        <v>32.0</v>
      </c>
      <c r="E62" s="14" t="s">
        <v>172</v>
      </c>
      <c r="F62" s="8">
        <v>276.0</v>
      </c>
      <c r="G62" s="8">
        <v>383.0</v>
      </c>
      <c r="H62" s="9">
        <v>38.7681</v>
      </c>
      <c r="I62" s="8">
        <v>3651.2</v>
      </c>
      <c r="J62" s="8">
        <v>1544.0</v>
      </c>
    </row>
    <row r="63">
      <c r="A63" s="8" t="s">
        <v>92</v>
      </c>
      <c r="B63" s="8" t="s">
        <v>45</v>
      </c>
      <c r="C63" s="8">
        <v>100.0</v>
      </c>
      <c r="D63" s="8">
        <v>29.0</v>
      </c>
      <c r="E63" s="14" t="s">
        <v>172</v>
      </c>
      <c r="F63" s="8">
        <v>290.0</v>
      </c>
      <c r="G63" s="8">
        <v>410.0</v>
      </c>
      <c r="H63" s="9">
        <v>41.3793</v>
      </c>
      <c r="I63" s="8">
        <v>3600.0</v>
      </c>
      <c r="J63" s="8">
        <v>1498.0</v>
      </c>
    </row>
    <row r="64">
      <c r="A64" s="8" t="s">
        <v>97</v>
      </c>
      <c r="B64" s="8" t="s">
        <v>45</v>
      </c>
      <c r="C64" s="8">
        <v>125.0</v>
      </c>
      <c r="D64" s="8">
        <v>37.0</v>
      </c>
      <c r="E64" s="14" t="s">
        <v>172</v>
      </c>
      <c r="F64" s="8">
        <v>367.0</v>
      </c>
      <c r="G64" s="8">
        <v>592.0</v>
      </c>
      <c r="H64" s="9">
        <v>61.3079</v>
      </c>
      <c r="I64" s="8">
        <v>3600.11</v>
      </c>
      <c r="J64" s="8">
        <v>1.0</v>
      </c>
    </row>
    <row r="65">
      <c r="A65" s="8" t="s">
        <v>121</v>
      </c>
      <c r="B65" s="8" t="s">
        <v>45</v>
      </c>
      <c r="C65" s="8">
        <v>125.0</v>
      </c>
      <c r="D65" s="8">
        <v>39.0</v>
      </c>
      <c r="E65" s="14" t="s">
        <v>172</v>
      </c>
      <c r="F65" s="8">
        <v>372.0</v>
      </c>
      <c r="G65" s="8">
        <v>541.0</v>
      </c>
      <c r="H65" s="9">
        <v>45.4301</v>
      </c>
      <c r="I65" s="8">
        <v>3614.45</v>
      </c>
      <c r="J65" s="8">
        <v>1.0</v>
      </c>
    </row>
    <row r="66">
      <c r="A66" s="8" t="s">
        <v>116</v>
      </c>
      <c r="B66" s="8" t="s">
        <v>45</v>
      </c>
      <c r="C66" s="8">
        <v>125.0</v>
      </c>
      <c r="D66" s="8">
        <v>40.0</v>
      </c>
      <c r="E66" s="14" t="s">
        <v>172</v>
      </c>
      <c r="F66" s="8">
        <v>366.0</v>
      </c>
      <c r="G66" s="8">
        <v>571.0</v>
      </c>
      <c r="H66" s="9">
        <v>56.0109</v>
      </c>
      <c r="I66" s="8">
        <v>3603.83</v>
      </c>
      <c r="J66" s="8">
        <v>1.0</v>
      </c>
    </row>
    <row r="67">
      <c r="A67" s="8" t="s">
        <v>102</v>
      </c>
      <c r="B67" s="8" t="s">
        <v>45</v>
      </c>
      <c r="C67" s="8">
        <v>125.0</v>
      </c>
      <c r="D67" s="8">
        <v>38.0</v>
      </c>
      <c r="E67" s="14" t="s">
        <v>172</v>
      </c>
      <c r="F67" s="8">
        <v>348.0</v>
      </c>
      <c r="G67" s="8">
        <v>519.0</v>
      </c>
      <c r="H67" s="9">
        <v>49.1379</v>
      </c>
      <c r="I67" s="8">
        <v>3600.11</v>
      </c>
      <c r="J67" s="8">
        <v>1.0</v>
      </c>
    </row>
    <row r="68">
      <c r="A68" s="8" t="s">
        <v>147</v>
      </c>
      <c r="B68" s="8" t="s">
        <v>45</v>
      </c>
      <c r="C68" s="8">
        <v>125.0</v>
      </c>
      <c r="D68" s="8">
        <v>38.0</v>
      </c>
      <c r="E68" s="14" t="s">
        <v>172</v>
      </c>
      <c r="F68" s="8">
        <v>374.0</v>
      </c>
      <c r="G68" s="8">
        <v>566.0</v>
      </c>
      <c r="H68" s="9">
        <v>51.3369</v>
      </c>
      <c r="I68" s="8">
        <v>3600.1</v>
      </c>
      <c r="J68" s="8">
        <v>1.0</v>
      </c>
    </row>
    <row r="69">
      <c r="A69" s="8" t="s">
        <v>146</v>
      </c>
      <c r="B69" s="8" t="s">
        <v>45</v>
      </c>
      <c r="C69" s="8">
        <v>150.0</v>
      </c>
      <c r="D69" s="8">
        <v>46.0</v>
      </c>
      <c r="E69" s="14" t="s">
        <v>172</v>
      </c>
      <c r="F69" s="8">
        <v>415.0</v>
      </c>
      <c r="G69" s="8">
        <v>2790.0</v>
      </c>
      <c r="H69" s="9">
        <v>572.2892</v>
      </c>
      <c r="I69" s="8">
        <v>3600.14</v>
      </c>
      <c r="J69" s="8">
        <v>1.0</v>
      </c>
    </row>
    <row r="70">
      <c r="A70" s="8" t="s">
        <v>89</v>
      </c>
      <c r="B70" s="8" t="s">
        <v>45</v>
      </c>
      <c r="C70" s="8">
        <v>150.0</v>
      </c>
      <c r="D70" s="8">
        <v>46.0</v>
      </c>
      <c r="E70" s="14" t="s">
        <v>172</v>
      </c>
      <c r="F70" s="8">
        <v>410.0</v>
      </c>
      <c r="G70" s="8">
        <v>2728.0</v>
      </c>
      <c r="H70" s="9">
        <v>565.3659</v>
      </c>
      <c r="I70" s="8">
        <v>3600.22</v>
      </c>
      <c r="J70" s="8">
        <v>1.0</v>
      </c>
    </row>
    <row r="71">
      <c r="A71" s="8" t="s">
        <v>47</v>
      </c>
      <c r="B71" s="8" t="s">
        <v>45</v>
      </c>
      <c r="C71" s="8">
        <v>150.0</v>
      </c>
      <c r="D71" s="8">
        <v>45.0</v>
      </c>
      <c r="E71" s="14" t="s">
        <v>172</v>
      </c>
      <c r="F71" s="8">
        <v>417.0</v>
      </c>
      <c r="G71" s="8">
        <v>2688.0</v>
      </c>
      <c r="H71" s="9">
        <v>544.6043</v>
      </c>
      <c r="I71" s="8">
        <v>3600.13</v>
      </c>
      <c r="J71" s="8">
        <v>1.0</v>
      </c>
    </row>
    <row r="72">
      <c r="A72" s="8" t="s">
        <v>137</v>
      </c>
      <c r="B72" s="8" t="s">
        <v>45</v>
      </c>
      <c r="C72" s="8">
        <v>150.0</v>
      </c>
      <c r="D72" s="8">
        <v>46.0</v>
      </c>
      <c r="E72" s="14" t="s">
        <v>172</v>
      </c>
      <c r="F72" s="8">
        <v>444.0</v>
      </c>
      <c r="G72" s="8">
        <v>3298.0</v>
      </c>
      <c r="H72" s="9">
        <v>642.7928</v>
      </c>
      <c r="I72" s="8">
        <v>3600.22</v>
      </c>
      <c r="J72" s="8">
        <v>1.0</v>
      </c>
    </row>
    <row r="73">
      <c r="A73" s="8" t="s">
        <v>136</v>
      </c>
      <c r="B73" s="8" t="s">
        <v>45</v>
      </c>
      <c r="C73" s="8">
        <v>150.0</v>
      </c>
      <c r="D73" s="8">
        <v>47.0</v>
      </c>
      <c r="E73" s="14" t="s">
        <v>172</v>
      </c>
      <c r="F73" s="8">
        <v>390.0</v>
      </c>
      <c r="G73" s="8">
        <v>3446.0</v>
      </c>
      <c r="H73" s="9">
        <v>783.5897</v>
      </c>
      <c r="I73" s="8">
        <v>3600.19</v>
      </c>
      <c r="J73" s="8">
        <v>1.0</v>
      </c>
    </row>
    <row r="74">
      <c r="A74" s="8" t="s">
        <v>128</v>
      </c>
      <c r="B74" s="8" t="s">
        <v>45</v>
      </c>
      <c r="C74" s="8">
        <v>200.0</v>
      </c>
      <c r="D74" s="8">
        <v>61.0</v>
      </c>
      <c r="E74" s="14" t="s">
        <v>172</v>
      </c>
      <c r="F74" s="8">
        <v>593.0</v>
      </c>
      <c r="G74" s="8">
        <v>5563.0</v>
      </c>
      <c r="H74" s="9">
        <v>838.1113</v>
      </c>
      <c r="I74" s="8">
        <v>3600.08</v>
      </c>
      <c r="J74" s="8">
        <v>1.0</v>
      </c>
    </row>
    <row r="75">
      <c r="A75" s="8" t="s">
        <v>68</v>
      </c>
      <c r="B75" s="8" t="s">
        <v>45</v>
      </c>
      <c r="C75" s="8">
        <v>200.0</v>
      </c>
      <c r="D75" s="8">
        <v>61.0</v>
      </c>
      <c r="E75" s="14" t="s">
        <v>172</v>
      </c>
      <c r="F75" s="8">
        <v>598.0</v>
      </c>
      <c r="G75" s="8">
        <v>5659.0</v>
      </c>
      <c r="H75" s="9">
        <v>846.3211</v>
      </c>
      <c r="I75" s="8">
        <v>3600.14</v>
      </c>
      <c r="J75" s="8">
        <v>1.0</v>
      </c>
    </row>
    <row r="76">
      <c r="A76" s="8" t="s">
        <v>112</v>
      </c>
      <c r="B76" s="8" t="s">
        <v>45</v>
      </c>
      <c r="C76" s="8">
        <v>200.0</v>
      </c>
      <c r="D76" s="8">
        <v>59.0</v>
      </c>
      <c r="E76" s="14" t="s">
        <v>172</v>
      </c>
      <c r="F76" s="8">
        <v>629.0</v>
      </c>
      <c r="G76" s="8">
        <v>5572.0</v>
      </c>
      <c r="H76" s="9">
        <v>785.8506</v>
      </c>
      <c r="I76" s="8">
        <v>3600.1</v>
      </c>
      <c r="J76" s="8">
        <v>1.0</v>
      </c>
    </row>
    <row r="77">
      <c r="A77" s="8" t="s">
        <v>145</v>
      </c>
      <c r="B77" s="8" t="s">
        <v>45</v>
      </c>
      <c r="C77" s="8">
        <v>200.0</v>
      </c>
      <c r="D77" s="8">
        <v>60.0</v>
      </c>
      <c r="E77" s="14" t="s">
        <v>172</v>
      </c>
      <c r="F77" s="8">
        <v>583.0</v>
      </c>
      <c r="G77" s="8">
        <v>5639.0</v>
      </c>
      <c r="H77" s="9">
        <v>867.2384</v>
      </c>
      <c r="I77" s="8">
        <v>3600.06</v>
      </c>
      <c r="J77" s="8">
        <v>1.0</v>
      </c>
    </row>
    <row r="78">
      <c r="A78" s="8" t="s">
        <v>56</v>
      </c>
      <c r="B78" s="8" t="s">
        <v>45</v>
      </c>
      <c r="C78" s="8">
        <v>200.0</v>
      </c>
      <c r="D78" s="8">
        <v>61.0</v>
      </c>
      <c r="E78" s="14" t="s">
        <v>172</v>
      </c>
      <c r="F78" s="8">
        <v>541.0</v>
      </c>
      <c r="G78" s="8">
        <v>5462.0</v>
      </c>
      <c r="H78" s="9">
        <v>909.6118</v>
      </c>
      <c r="I78" s="8">
        <v>3600.08</v>
      </c>
      <c r="J78" s="8">
        <v>1.0</v>
      </c>
    </row>
    <row r="79">
      <c r="A79" s="8" t="s">
        <v>70</v>
      </c>
      <c r="B79" s="8" t="s">
        <v>45</v>
      </c>
      <c r="C79" s="8">
        <v>250.0</v>
      </c>
      <c r="D79" s="8">
        <v>74.0</v>
      </c>
      <c r="E79" s="14" t="s">
        <v>173</v>
      </c>
      <c r="F79" s="17"/>
      <c r="G79" s="17"/>
      <c r="H79" s="18"/>
      <c r="I79" s="17"/>
      <c r="J79" s="17"/>
    </row>
  </sheetData>
  <autoFilter ref="$A$1:$J$79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5.13"/>
    <col customWidth="1" min="3" max="3" width="27.38"/>
    <col customWidth="1" min="4" max="4" width="24.13"/>
    <col customWidth="1" min="5" max="5" width="21.63"/>
    <col customWidth="1" min="6" max="6" width="18.0"/>
    <col customWidth="1" min="7" max="7" width="16.5"/>
    <col customWidth="1" min="8" max="8" width="18.13"/>
    <col customWidth="1" min="9" max="9" width="17.63"/>
  </cols>
  <sheetData>
    <row r="1">
      <c r="A1" s="7" t="s">
        <v>38</v>
      </c>
      <c r="B1" s="7" t="s">
        <v>39</v>
      </c>
      <c r="C1" s="19" t="s">
        <v>174</v>
      </c>
      <c r="D1" s="19" t="s">
        <v>175</v>
      </c>
      <c r="E1" s="7" t="s">
        <v>176</v>
      </c>
      <c r="F1" s="7" t="s">
        <v>169</v>
      </c>
      <c r="G1" s="7" t="s">
        <v>168</v>
      </c>
      <c r="H1" s="6" t="s">
        <v>177</v>
      </c>
      <c r="I1" s="6" t="s">
        <v>178</v>
      </c>
      <c r="J1" s="1"/>
    </row>
    <row r="2">
      <c r="A2" s="8" t="s">
        <v>93</v>
      </c>
      <c r="B2" s="8" t="s">
        <v>53</v>
      </c>
      <c r="C2" s="20">
        <v>161.0</v>
      </c>
      <c r="D2" s="20">
        <v>0.0</v>
      </c>
      <c r="E2" s="8">
        <v>185.0</v>
      </c>
      <c r="F2" s="8">
        <v>0.0</v>
      </c>
      <c r="G2" s="21">
        <v>0.0</v>
      </c>
      <c r="H2" s="22">
        <f t="shared" ref="H2:I2" si="1">E2-C2</f>
        <v>24</v>
      </c>
      <c r="I2" s="22">
        <f t="shared" si="1"/>
        <v>0</v>
      </c>
    </row>
    <row r="3">
      <c r="A3" s="8" t="s">
        <v>36</v>
      </c>
      <c r="B3" s="8" t="s">
        <v>53</v>
      </c>
      <c r="C3" s="8">
        <v>146.0</v>
      </c>
      <c r="D3" s="8">
        <v>0.0</v>
      </c>
      <c r="E3" s="8">
        <v>159.0</v>
      </c>
      <c r="F3" s="8">
        <v>0.01</v>
      </c>
      <c r="G3" s="21">
        <v>0.0</v>
      </c>
      <c r="H3" s="22">
        <f t="shared" ref="H3:I3" si="2">E3-C3</f>
        <v>13</v>
      </c>
      <c r="I3" s="22">
        <f t="shared" si="2"/>
        <v>0.01</v>
      </c>
    </row>
    <row r="4" hidden="1">
      <c r="A4" s="23" t="s">
        <v>55</v>
      </c>
      <c r="B4" s="23" t="s">
        <v>53</v>
      </c>
      <c r="C4" s="23">
        <v>378.0</v>
      </c>
      <c r="D4" s="23">
        <v>0.3</v>
      </c>
      <c r="E4" s="23">
        <v>378.0</v>
      </c>
      <c r="F4" s="23">
        <v>0.07</v>
      </c>
      <c r="G4" s="24">
        <v>0.0</v>
      </c>
      <c r="H4" s="25">
        <f t="shared" ref="H4:I4" si="3">E4-C4</f>
        <v>0</v>
      </c>
      <c r="I4" s="25">
        <f t="shared" si="3"/>
        <v>-0.23</v>
      </c>
    </row>
    <row r="5">
      <c r="A5" s="8" t="s">
        <v>141</v>
      </c>
      <c r="B5" s="8" t="s">
        <v>53</v>
      </c>
      <c r="C5" s="8">
        <v>201.0</v>
      </c>
      <c r="D5" s="8">
        <v>0.0</v>
      </c>
      <c r="E5" s="8">
        <v>247.0</v>
      </c>
      <c r="F5" s="8">
        <v>0.12</v>
      </c>
      <c r="G5" s="21">
        <v>0.0</v>
      </c>
      <c r="H5" s="22">
        <f t="shared" ref="H5:I5" si="4">E5-C5</f>
        <v>46</v>
      </c>
      <c r="I5" s="22">
        <f t="shared" si="4"/>
        <v>0.12</v>
      </c>
    </row>
    <row r="6">
      <c r="A6" s="8" t="s">
        <v>109</v>
      </c>
      <c r="B6" s="8" t="s">
        <v>53</v>
      </c>
      <c r="C6" s="8">
        <v>398.0</v>
      </c>
      <c r="D6" s="8">
        <v>0.0</v>
      </c>
      <c r="E6" s="8">
        <v>419.0</v>
      </c>
      <c r="F6" s="8">
        <v>0.26</v>
      </c>
      <c r="G6" s="21">
        <v>0.0</v>
      </c>
      <c r="H6" s="22">
        <f t="shared" ref="H6:I6" si="5">E6-C6</f>
        <v>21</v>
      </c>
      <c r="I6" s="22">
        <f t="shared" si="5"/>
        <v>0.26</v>
      </c>
    </row>
    <row r="7">
      <c r="A7" s="8" t="s">
        <v>85</v>
      </c>
      <c r="B7" s="8" t="s">
        <v>53</v>
      </c>
      <c r="C7" s="8">
        <v>286.0</v>
      </c>
      <c r="D7" s="8">
        <v>0.0</v>
      </c>
      <c r="E7" s="8">
        <v>363.0</v>
      </c>
      <c r="F7" s="8">
        <v>0.28</v>
      </c>
      <c r="G7" s="21">
        <v>0.0</v>
      </c>
      <c r="H7" s="22">
        <f t="shared" ref="H7:I7" si="6">E7-C7</f>
        <v>77</v>
      </c>
      <c r="I7" s="22">
        <f t="shared" si="6"/>
        <v>0.28</v>
      </c>
    </row>
    <row r="8">
      <c r="A8" s="8" t="s">
        <v>105</v>
      </c>
      <c r="B8" s="8" t="s">
        <v>53</v>
      </c>
      <c r="C8" s="8">
        <v>466.0</v>
      </c>
      <c r="D8" s="8">
        <v>1.0</v>
      </c>
      <c r="E8" s="8">
        <v>467.0</v>
      </c>
      <c r="F8" s="8">
        <v>1.09</v>
      </c>
      <c r="G8" s="21">
        <v>0.0</v>
      </c>
      <c r="H8" s="22">
        <f t="shared" ref="H8:I8" si="7">E8-C8</f>
        <v>1</v>
      </c>
      <c r="I8" s="22">
        <f t="shared" si="7"/>
        <v>0.09</v>
      </c>
    </row>
    <row r="9">
      <c r="A9" s="8" t="s">
        <v>126</v>
      </c>
      <c r="B9" s="8" t="s">
        <v>53</v>
      </c>
      <c r="C9" s="8">
        <v>491.0</v>
      </c>
      <c r="D9" s="8">
        <v>1.1</v>
      </c>
      <c r="E9" s="8">
        <v>513.0</v>
      </c>
      <c r="F9" s="8">
        <v>1483.41</v>
      </c>
      <c r="G9" s="21">
        <v>0.0</v>
      </c>
      <c r="H9" s="22">
        <f t="shared" ref="H9:I9" si="8">E9-C9</f>
        <v>22</v>
      </c>
      <c r="I9" s="22">
        <f t="shared" si="8"/>
        <v>1482.31</v>
      </c>
    </row>
    <row r="10">
      <c r="A10" s="8" t="s">
        <v>65</v>
      </c>
      <c r="B10" s="8" t="s">
        <v>53</v>
      </c>
      <c r="C10" s="8">
        <v>664.0</v>
      </c>
      <c r="D10" s="8">
        <v>0.0</v>
      </c>
      <c r="E10" s="8">
        <v>757.0</v>
      </c>
      <c r="F10" s="8">
        <v>779.79</v>
      </c>
      <c r="G10" s="21">
        <v>0.0</v>
      </c>
      <c r="H10" s="22">
        <f t="shared" ref="H10:I10" si="9">E10-C10</f>
        <v>93</v>
      </c>
      <c r="I10" s="22">
        <f t="shared" si="9"/>
        <v>779.79</v>
      </c>
    </row>
    <row r="11">
      <c r="A11" s="8" t="s">
        <v>114</v>
      </c>
      <c r="B11" s="8" t="s">
        <v>53</v>
      </c>
      <c r="C11" s="8">
        <v>765.0</v>
      </c>
      <c r="D11" s="8">
        <v>1.0</v>
      </c>
      <c r="E11" s="8">
        <v>881.0</v>
      </c>
      <c r="F11" s="8">
        <v>3600.02</v>
      </c>
      <c r="G11" s="26">
        <v>4.3133</v>
      </c>
      <c r="H11" s="22">
        <f t="shared" ref="H11:I11" si="10">E11-C11</f>
        <v>116</v>
      </c>
      <c r="I11" s="22">
        <f t="shared" si="10"/>
        <v>3599.02</v>
      </c>
    </row>
    <row r="12">
      <c r="A12" s="8" t="s">
        <v>69</v>
      </c>
      <c r="B12" s="8" t="s">
        <v>53</v>
      </c>
      <c r="C12" s="8">
        <v>985.0</v>
      </c>
      <c r="D12" s="8">
        <v>5.7</v>
      </c>
      <c r="E12" s="8">
        <v>1105.0</v>
      </c>
      <c r="F12" s="8">
        <v>3600.02</v>
      </c>
      <c r="G12" s="26">
        <v>9.8643</v>
      </c>
      <c r="H12" s="22">
        <f t="shared" ref="H12:I12" si="11">E12-C12</f>
        <v>120</v>
      </c>
      <c r="I12" s="22">
        <f t="shared" si="11"/>
        <v>3594.32</v>
      </c>
    </row>
    <row r="13">
      <c r="A13" s="8" t="s">
        <v>150</v>
      </c>
      <c r="B13" s="8" t="s">
        <v>53</v>
      </c>
      <c r="C13" s="8">
        <v>1020.0</v>
      </c>
      <c r="D13" s="8">
        <v>0.0</v>
      </c>
      <c r="E13" s="8">
        <v>1302.0</v>
      </c>
      <c r="F13" s="8">
        <v>3600.0</v>
      </c>
      <c r="G13" s="26">
        <v>9.1398</v>
      </c>
      <c r="H13" s="22">
        <f t="shared" ref="H13:I13" si="12">E13-C13</f>
        <v>282</v>
      </c>
      <c r="I13" s="22">
        <f t="shared" si="12"/>
        <v>3600</v>
      </c>
    </row>
    <row r="14">
      <c r="A14" s="8" t="s">
        <v>123</v>
      </c>
      <c r="B14" s="8" t="s">
        <v>53</v>
      </c>
      <c r="C14" s="8">
        <v>1250.0</v>
      </c>
      <c r="D14" s="8">
        <v>10.9</v>
      </c>
      <c r="E14" s="8">
        <v>1327.0</v>
      </c>
      <c r="F14" s="8">
        <v>3600.02</v>
      </c>
      <c r="G14" s="26">
        <v>12.8109</v>
      </c>
      <c r="H14" s="22">
        <f t="shared" ref="H14:I14" si="13">E14-C14</f>
        <v>77</v>
      </c>
      <c r="I14" s="22">
        <f t="shared" si="13"/>
        <v>3589.12</v>
      </c>
    </row>
    <row r="15">
      <c r="A15" s="8" t="s">
        <v>61</v>
      </c>
      <c r="B15" s="8" t="s">
        <v>53</v>
      </c>
      <c r="C15" s="8">
        <v>1135.0</v>
      </c>
      <c r="D15" s="8">
        <v>19.5</v>
      </c>
      <c r="E15" s="8">
        <v>1189.0</v>
      </c>
      <c r="F15" s="8">
        <v>3611.01</v>
      </c>
      <c r="G15" s="26">
        <v>20.6897</v>
      </c>
      <c r="H15" s="22">
        <f t="shared" ref="H15:I15" si="14">E15-C15</f>
        <v>54</v>
      </c>
      <c r="I15" s="22">
        <f t="shared" si="14"/>
        <v>3591.51</v>
      </c>
    </row>
    <row r="16">
      <c r="A16" s="8" t="s">
        <v>100</v>
      </c>
      <c r="B16" s="8" t="s">
        <v>53</v>
      </c>
      <c r="C16" s="8">
        <v>1428.0</v>
      </c>
      <c r="D16" s="8">
        <v>19.6</v>
      </c>
      <c r="E16" s="8">
        <v>1611.0</v>
      </c>
      <c r="F16" s="8">
        <v>3600.04</v>
      </c>
      <c r="G16" s="26">
        <v>15.7666</v>
      </c>
      <c r="H16" s="22">
        <f t="shared" ref="H16:I16" si="15">E16-C16</f>
        <v>183</v>
      </c>
      <c r="I16" s="22">
        <f t="shared" si="15"/>
        <v>3580.44</v>
      </c>
    </row>
    <row r="17">
      <c r="A17" s="8" t="s">
        <v>94</v>
      </c>
      <c r="B17" s="8" t="s">
        <v>53</v>
      </c>
      <c r="C17" s="8">
        <v>1322.0</v>
      </c>
      <c r="D17" s="8">
        <v>9.8</v>
      </c>
      <c r="E17" s="8">
        <v>1524.0</v>
      </c>
      <c r="F17" s="8">
        <v>3600.2</v>
      </c>
      <c r="G17" s="26">
        <v>468.1102</v>
      </c>
      <c r="H17" s="22">
        <f t="shared" ref="H17:I17" si="16">E17-C17</f>
        <v>202</v>
      </c>
      <c r="I17" s="22">
        <f t="shared" si="16"/>
        <v>3590.4</v>
      </c>
    </row>
    <row r="18" hidden="1">
      <c r="A18" s="23" t="s">
        <v>125</v>
      </c>
      <c r="B18" s="23" t="s">
        <v>45</v>
      </c>
      <c r="C18" s="23">
        <v>13.0</v>
      </c>
      <c r="D18" s="23">
        <v>0.1</v>
      </c>
      <c r="E18" s="23">
        <v>13.0</v>
      </c>
      <c r="F18" s="23">
        <v>0.01</v>
      </c>
      <c r="G18" s="24">
        <v>0.0</v>
      </c>
      <c r="H18" s="25">
        <f t="shared" ref="H18:I18" si="17">E18-C18</f>
        <v>0</v>
      </c>
      <c r="I18" s="25">
        <f t="shared" si="17"/>
        <v>-0.09</v>
      </c>
    </row>
    <row r="19" hidden="1">
      <c r="A19" s="23" t="s">
        <v>111</v>
      </c>
      <c r="B19" s="23" t="s">
        <v>45</v>
      </c>
      <c r="C19" s="23">
        <v>12.0</v>
      </c>
      <c r="D19" s="23">
        <v>0.1</v>
      </c>
      <c r="E19" s="23">
        <v>12.0</v>
      </c>
      <c r="F19" s="23">
        <v>0.0</v>
      </c>
      <c r="G19" s="24">
        <v>0.0</v>
      </c>
      <c r="H19" s="25">
        <f t="shared" ref="H19:I19" si="18">E19-C19</f>
        <v>0</v>
      </c>
      <c r="I19" s="25">
        <f t="shared" si="18"/>
        <v>-0.1</v>
      </c>
    </row>
    <row r="20" hidden="1">
      <c r="A20" s="8" t="s">
        <v>133</v>
      </c>
      <c r="B20" s="8" t="s">
        <v>45</v>
      </c>
      <c r="C20" s="8">
        <v>13.0</v>
      </c>
      <c r="D20" s="8">
        <v>0.0</v>
      </c>
      <c r="E20" s="8">
        <v>13.0</v>
      </c>
      <c r="F20" s="8">
        <v>0.0</v>
      </c>
      <c r="G20" s="21">
        <v>0.0</v>
      </c>
      <c r="H20" s="22">
        <f t="shared" ref="H20:I20" si="19">E20-C20</f>
        <v>0</v>
      </c>
      <c r="I20" s="22">
        <f t="shared" si="19"/>
        <v>0</v>
      </c>
    </row>
    <row r="21" hidden="1">
      <c r="A21" s="23" t="s">
        <v>124</v>
      </c>
      <c r="B21" s="23" t="s">
        <v>45</v>
      </c>
      <c r="C21" s="23">
        <v>13.0</v>
      </c>
      <c r="D21" s="23">
        <v>0.1</v>
      </c>
      <c r="E21" s="23">
        <v>13.0</v>
      </c>
      <c r="F21" s="23">
        <v>0.01</v>
      </c>
      <c r="G21" s="24">
        <v>0.0</v>
      </c>
      <c r="H21" s="25">
        <f t="shared" ref="H21:I21" si="20">E21-C21</f>
        <v>0</v>
      </c>
      <c r="I21" s="25">
        <f t="shared" si="20"/>
        <v>-0.09</v>
      </c>
    </row>
    <row r="22" hidden="1">
      <c r="A22" s="23" t="s">
        <v>49</v>
      </c>
      <c r="B22" s="23" t="s">
        <v>45</v>
      </c>
      <c r="C22" s="23">
        <v>20.0</v>
      </c>
      <c r="D22" s="23">
        <v>0.1</v>
      </c>
      <c r="E22" s="23">
        <v>20.0</v>
      </c>
      <c r="F22" s="23">
        <v>0.01</v>
      </c>
      <c r="G22" s="24">
        <v>0.0</v>
      </c>
      <c r="H22" s="25">
        <f t="shared" ref="H22:I22" si="21">E22-C22</f>
        <v>0</v>
      </c>
      <c r="I22" s="25">
        <f t="shared" si="21"/>
        <v>-0.09</v>
      </c>
    </row>
    <row r="23" hidden="1">
      <c r="A23" s="23" t="s">
        <v>130</v>
      </c>
      <c r="B23" s="23" t="s">
        <v>45</v>
      </c>
      <c r="C23" s="23">
        <v>20.0</v>
      </c>
      <c r="D23" s="23">
        <v>0.3</v>
      </c>
      <c r="E23" s="23">
        <v>20.0</v>
      </c>
      <c r="F23" s="23">
        <v>0.01</v>
      </c>
      <c r="G23" s="24">
        <v>0.0</v>
      </c>
      <c r="H23" s="25">
        <f t="shared" ref="H23:I23" si="22">E23-C23</f>
        <v>0</v>
      </c>
      <c r="I23" s="25">
        <f t="shared" si="22"/>
        <v>-0.29</v>
      </c>
    </row>
    <row r="24" hidden="1">
      <c r="A24" s="23" t="s">
        <v>140</v>
      </c>
      <c r="B24" s="23" t="s">
        <v>45</v>
      </c>
      <c r="C24" s="23">
        <v>18.0</v>
      </c>
      <c r="D24" s="23">
        <v>0.3</v>
      </c>
      <c r="E24" s="23">
        <v>18.0</v>
      </c>
      <c r="F24" s="23">
        <v>0.07</v>
      </c>
      <c r="G24" s="24">
        <v>0.0</v>
      </c>
      <c r="H24" s="25">
        <f t="shared" ref="H24:I24" si="23">E24-C24</f>
        <v>0</v>
      </c>
      <c r="I24" s="25">
        <f t="shared" si="23"/>
        <v>-0.23</v>
      </c>
    </row>
    <row r="25" hidden="1">
      <c r="A25" s="23" t="s">
        <v>60</v>
      </c>
      <c r="B25" s="23" t="s">
        <v>45</v>
      </c>
      <c r="C25" s="23">
        <v>19.0</v>
      </c>
      <c r="D25" s="23">
        <v>0.3</v>
      </c>
      <c r="E25" s="23">
        <v>19.0</v>
      </c>
      <c r="F25" s="23">
        <v>0.01</v>
      </c>
      <c r="G25" s="24">
        <v>0.0</v>
      </c>
      <c r="H25" s="25">
        <f t="shared" ref="H25:I25" si="24">E25-C25</f>
        <v>0</v>
      </c>
      <c r="I25" s="25">
        <f t="shared" si="24"/>
        <v>-0.29</v>
      </c>
    </row>
    <row r="26" hidden="1">
      <c r="A26" s="23" t="s">
        <v>59</v>
      </c>
      <c r="B26" s="23" t="s">
        <v>45</v>
      </c>
      <c r="C26" s="23">
        <v>23.0</v>
      </c>
      <c r="D26" s="23">
        <v>0.3</v>
      </c>
      <c r="E26" s="23">
        <v>23.0</v>
      </c>
      <c r="F26" s="23">
        <v>0.02</v>
      </c>
      <c r="G26" s="24">
        <v>0.0</v>
      </c>
      <c r="H26" s="25">
        <f t="shared" ref="H26:I26" si="25">E26-C26</f>
        <v>0</v>
      </c>
      <c r="I26" s="25">
        <f t="shared" si="25"/>
        <v>-0.28</v>
      </c>
    </row>
    <row r="27" hidden="1">
      <c r="A27" s="23" t="s">
        <v>50</v>
      </c>
      <c r="B27" s="23" t="s">
        <v>45</v>
      </c>
      <c r="C27" s="23">
        <v>22.0</v>
      </c>
      <c r="D27" s="23">
        <v>0.4</v>
      </c>
      <c r="E27" s="23">
        <v>22.0</v>
      </c>
      <c r="F27" s="23">
        <v>0.01</v>
      </c>
      <c r="G27" s="24">
        <v>0.0</v>
      </c>
      <c r="H27" s="25">
        <f t="shared" ref="H27:I27" si="26">E27-C27</f>
        <v>0</v>
      </c>
      <c r="I27" s="25">
        <f t="shared" si="26"/>
        <v>-0.39</v>
      </c>
    </row>
    <row r="28" hidden="1">
      <c r="A28" s="23" t="s">
        <v>95</v>
      </c>
      <c r="B28" s="23" t="s">
        <v>45</v>
      </c>
      <c r="C28" s="23">
        <v>34.0</v>
      </c>
      <c r="D28" s="23">
        <v>0.5</v>
      </c>
      <c r="E28" s="23">
        <v>34.0</v>
      </c>
      <c r="F28" s="23">
        <v>0.14</v>
      </c>
      <c r="G28" s="24">
        <v>0.0</v>
      </c>
      <c r="H28" s="25">
        <f t="shared" ref="H28:I28" si="27">E28-C28</f>
        <v>0</v>
      </c>
      <c r="I28" s="25">
        <f t="shared" si="27"/>
        <v>-0.36</v>
      </c>
    </row>
    <row r="29">
      <c r="A29" s="8" t="s">
        <v>73</v>
      </c>
      <c r="B29" s="8" t="s">
        <v>45</v>
      </c>
      <c r="C29" s="8">
        <v>24.0</v>
      </c>
      <c r="D29" s="8">
        <v>0.0</v>
      </c>
      <c r="E29" s="8">
        <v>31.0</v>
      </c>
      <c r="F29" s="8">
        <v>0.11</v>
      </c>
      <c r="G29" s="21">
        <v>0.0</v>
      </c>
      <c r="H29" s="22">
        <f t="shared" ref="H29:I29" si="28">E29-C29</f>
        <v>7</v>
      </c>
      <c r="I29" s="22">
        <f t="shared" si="28"/>
        <v>0.11</v>
      </c>
    </row>
    <row r="30" hidden="1">
      <c r="A30" s="23" t="s">
        <v>46</v>
      </c>
      <c r="B30" s="23" t="s">
        <v>45</v>
      </c>
      <c r="C30" s="23">
        <v>25.0</v>
      </c>
      <c r="D30" s="23">
        <v>0.6</v>
      </c>
      <c r="E30" s="23">
        <v>25.0</v>
      </c>
      <c r="F30" s="23">
        <v>0.06</v>
      </c>
      <c r="G30" s="24">
        <v>0.0</v>
      </c>
      <c r="H30" s="25">
        <f t="shared" ref="H30:I30" si="29">E30-C30</f>
        <v>0</v>
      </c>
      <c r="I30" s="25">
        <f t="shared" si="29"/>
        <v>-0.54</v>
      </c>
    </row>
    <row r="31">
      <c r="A31" s="23" t="s">
        <v>103</v>
      </c>
      <c r="B31" s="23" t="s">
        <v>45</v>
      </c>
      <c r="C31" s="23">
        <v>25.0</v>
      </c>
      <c r="D31" s="23">
        <v>0.7</v>
      </c>
      <c r="E31" s="23">
        <v>26.0</v>
      </c>
      <c r="F31" s="23">
        <v>0.27</v>
      </c>
      <c r="G31" s="24">
        <v>0.0</v>
      </c>
      <c r="H31" s="25">
        <f t="shared" ref="H31:I31" si="30">E31-C31</f>
        <v>1</v>
      </c>
      <c r="I31" s="25">
        <f t="shared" si="30"/>
        <v>-0.43</v>
      </c>
    </row>
    <row r="32" hidden="1">
      <c r="A32" s="23" t="s">
        <v>131</v>
      </c>
      <c r="B32" s="23" t="s">
        <v>45</v>
      </c>
      <c r="C32" s="23">
        <v>35.0</v>
      </c>
      <c r="D32" s="23">
        <v>0.8</v>
      </c>
      <c r="E32" s="23">
        <v>35.0</v>
      </c>
      <c r="F32" s="23">
        <v>0.2</v>
      </c>
      <c r="G32" s="24">
        <v>0.0</v>
      </c>
      <c r="H32" s="25">
        <f t="shared" ref="H32:I32" si="31">E32-C32</f>
        <v>0</v>
      </c>
      <c r="I32" s="25">
        <f t="shared" si="31"/>
        <v>-0.6</v>
      </c>
    </row>
    <row r="33" hidden="1">
      <c r="A33" s="23" t="s">
        <v>115</v>
      </c>
      <c r="B33" s="23" t="s">
        <v>45</v>
      </c>
      <c r="C33" s="23">
        <v>34.0</v>
      </c>
      <c r="D33" s="23">
        <v>0.9</v>
      </c>
      <c r="E33" s="23">
        <v>34.0</v>
      </c>
      <c r="F33" s="23">
        <v>0.27</v>
      </c>
      <c r="G33" s="24">
        <v>0.0</v>
      </c>
      <c r="H33" s="25">
        <f t="shared" ref="H33:I33" si="32">E33-C33</f>
        <v>0</v>
      </c>
      <c r="I33" s="25">
        <f t="shared" si="32"/>
        <v>-0.63</v>
      </c>
    </row>
    <row r="34" hidden="1">
      <c r="A34" s="8" t="s">
        <v>71</v>
      </c>
      <c r="B34" s="8" t="s">
        <v>45</v>
      </c>
      <c r="C34" s="8">
        <v>44.0</v>
      </c>
      <c r="D34" s="8">
        <v>0.1</v>
      </c>
      <c r="E34" s="8">
        <v>44.0</v>
      </c>
      <c r="F34" s="8">
        <v>0.9</v>
      </c>
      <c r="G34" s="21">
        <v>0.0</v>
      </c>
      <c r="H34" s="22">
        <f t="shared" ref="H34:I34" si="33">E34-C34</f>
        <v>0</v>
      </c>
      <c r="I34" s="22">
        <f t="shared" si="33"/>
        <v>0.8</v>
      </c>
    </row>
    <row r="35" hidden="1">
      <c r="A35" s="23" t="s">
        <v>87</v>
      </c>
      <c r="B35" s="23" t="s">
        <v>45</v>
      </c>
      <c r="C35" s="23">
        <v>41.0</v>
      </c>
      <c r="D35" s="23">
        <v>1.0</v>
      </c>
      <c r="E35" s="23">
        <v>41.0</v>
      </c>
      <c r="F35" s="23">
        <v>0.32</v>
      </c>
      <c r="G35" s="24">
        <v>0.0</v>
      </c>
      <c r="H35" s="25">
        <f t="shared" ref="H35:I35" si="34">E35-C35</f>
        <v>0</v>
      </c>
      <c r="I35" s="25">
        <f t="shared" si="34"/>
        <v>-0.68</v>
      </c>
    </row>
    <row r="36" hidden="1">
      <c r="A36" s="8" t="s">
        <v>44</v>
      </c>
      <c r="B36" s="8" t="s">
        <v>45</v>
      </c>
      <c r="C36" s="8">
        <v>43.0</v>
      </c>
      <c r="D36" s="8">
        <v>0.6</v>
      </c>
      <c r="E36" s="8">
        <v>43.0</v>
      </c>
      <c r="F36" s="8">
        <v>0.65</v>
      </c>
      <c r="G36" s="21">
        <v>0.0</v>
      </c>
      <c r="H36" s="22">
        <f t="shared" ref="H36:I36" si="35">E36-C36</f>
        <v>0</v>
      </c>
      <c r="I36" s="22">
        <f t="shared" si="35"/>
        <v>0.05</v>
      </c>
    </row>
    <row r="37">
      <c r="A37" s="8" t="s">
        <v>134</v>
      </c>
      <c r="B37" s="8" t="s">
        <v>45</v>
      </c>
      <c r="C37" s="8">
        <v>37.0</v>
      </c>
      <c r="D37" s="8">
        <v>0.0</v>
      </c>
      <c r="E37" s="8">
        <v>45.0</v>
      </c>
      <c r="F37" s="8">
        <v>0.55</v>
      </c>
      <c r="G37" s="21">
        <v>0.0</v>
      </c>
      <c r="H37" s="22">
        <f t="shared" ref="H37:I37" si="36">E37-C37</f>
        <v>8</v>
      </c>
      <c r="I37" s="22">
        <f t="shared" si="36"/>
        <v>0.55</v>
      </c>
    </row>
    <row r="38">
      <c r="A38" s="8" t="s">
        <v>153</v>
      </c>
      <c r="B38" s="8" t="s">
        <v>45</v>
      </c>
      <c r="C38" s="8">
        <v>44.0</v>
      </c>
      <c r="D38" s="8">
        <v>0.0</v>
      </c>
      <c r="E38" s="8">
        <v>54.0</v>
      </c>
      <c r="F38" s="8">
        <v>7.47</v>
      </c>
      <c r="G38" s="21">
        <v>0.0</v>
      </c>
      <c r="H38" s="22">
        <f t="shared" ref="H38:I38" si="37">E38-C38</f>
        <v>10</v>
      </c>
      <c r="I38" s="22">
        <f t="shared" si="37"/>
        <v>7.47</v>
      </c>
    </row>
    <row r="39" hidden="1">
      <c r="A39" s="8" t="s">
        <v>51</v>
      </c>
      <c r="B39" s="8" t="s">
        <v>45</v>
      </c>
      <c r="C39" s="8">
        <v>59.0</v>
      </c>
      <c r="D39" s="8">
        <v>1.0</v>
      </c>
      <c r="E39" s="8">
        <v>59.0</v>
      </c>
      <c r="F39" s="8">
        <v>7.86</v>
      </c>
      <c r="G39" s="21">
        <v>0.0</v>
      </c>
      <c r="H39" s="22">
        <f t="shared" ref="H39:I39" si="38">E39-C39</f>
        <v>0</v>
      </c>
      <c r="I39" s="22">
        <f t="shared" si="38"/>
        <v>6.86</v>
      </c>
    </row>
    <row r="40" hidden="1">
      <c r="A40" s="8" t="s">
        <v>96</v>
      </c>
      <c r="B40" s="8" t="s">
        <v>45</v>
      </c>
      <c r="C40" s="8">
        <v>64.0</v>
      </c>
      <c r="D40" s="8">
        <v>1.5</v>
      </c>
      <c r="E40" s="8">
        <v>64.0</v>
      </c>
      <c r="F40" s="8">
        <v>6.17</v>
      </c>
      <c r="G40" s="21">
        <v>0.0</v>
      </c>
      <c r="H40" s="22">
        <f t="shared" ref="H40:I40" si="39">E40-C40</f>
        <v>0</v>
      </c>
      <c r="I40" s="22">
        <f t="shared" si="39"/>
        <v>4.67</v>
      </c>
    </row>
    <row r="41">
      <c r="A41" s="8" t="s">
        <v>106</v>
      </c>
      <c r="B41" s="8" t="s">
        <v>45</v>
      </c>
      <c r="C41" s="8">
        <v>60.0</v>
      </c>
      <c r="D41" s="8">
        <v>0.1</v>
      </c>
      <c r="E41" s="8">
        <v>62.0</v>
      </c>
      <c r="F41" s="8">
        <v>8.08</v>
      </c>
      <c r="G41" s="21">
        <v>0.0</v>
      </c>
      <c r="H41" s="22">
        <f t="shared" ref="H41:I41" si="40">E41-C41</f>
        <v>2</v>
      </c>
      <c r="I41" s="22">
        <f t="shared" si="40"/>
        <v>7.98</v>
      </c>
    </row>
    <row r="42">
      <c r="A42" s="8" t="s">
        <v>91</v>
      </c>
      <c r="B42" s="8" t="s">
        <v>45</v>
      </c>
      <c r="C42" s="8">
        <v>45.0</v>
      </c>
      <c r="D42" s="8">
        <v>0.0</v>
      </c>
      <c r="E42" s="8">
        <v>58.0</v>
      </c>
      <c r="F42" s="8">
        <v>11.14</v>
      </c>
      <c r="G42" s="21">
        <v>0.0</v>
      </c>
      <c r="H42" s="22">
        <f t="shared" ref="H42:I42" si="41">E42-C42</f>
        <v>13</v>
      </c>
      <c r="I42" s="22">
        <f t="shared" si="41"/>
        <v>11.14</v>
      </c>
    </row>
    <row r="43">
      <c r="A43" s="8" t="s">
        <v>66</v>
      </c>
      <c r="B43" s="8" t="s">
        <v>45</v>
      </c>
      <c r="C43" s="8">
        <v>72.0</v>
      </c>
      <c r="D43" s="8">
        <v>0.0</v>
      </c>
      <c r="E43" s="8">
        <v>88.0</v>
      </c>
      <c r="F43" s="8">
        <v>760.32</v>
      </c>
      <c r="G43" s="21">
        <v>0.0</v>
      </c>
      <c r="H43" s="22">
        <f t="shared" ref="H43:I43" si="42">E43-C43</f>
        <v>16</v>
      </c>
      <c r="I43" s="22">
        <f t="shared" si="42"/>
        <v>760.32</v>
      </c>
    </row>
    <row r="44">
      <c r="A44" s="8" t="s">
        <v>75</v>
      </c>
      <c r="B44" s="8" t="s">
        <v>45</v>
      </c>
      <c r="C44" s="8">
        <v>79.0</v>
      </c>
      <c r="D44" s="8">
        <v>1.9</v>
      </c>
      <c r="E44" s="8">
        <v>82.0</v>
      </c>
      <c r="F44" s="8">
        <v>2757.88</v>
      </c>
      <c r="G44" s="21">
        <v>0.0</v>
      </c>
      <c r="H44" s="22">
        <f t="shared" ref="H44:I44" si="43">E44-C44</f>
        <v>3</v>
      </c>
      <c r="I44" s="22">
        <f t="shared" si="43"/>
        <v>2755.98</v>
      </c>
    </row>
    <row r="45" hidden="1">
      <c r="A45" s="8" t="s">
        <v>58</v>
      </c>
      <c r="B45" s="8" t="s">
        <v>45</v>
      </c>
      <c r="C45" s="8">
        <v>91.0</v>
      </c>
      <c r="D45" s="8">
        <v>1.5</v>
      </c>
      <c r="E45" s="8">
        <v>91.0</v>
      </c>
      <c r="F45" s="8">
        <v>1987.99</v>
      </c>
      <c r="G45" s="21">
        <v>0.0</v>
      </c>
      <c r="H45" s="22">
        <f t="shared" ref="H45:I45" si="44">E45-C45</f>
        <v>0</v>
      </c>
      <c r="I45" s="22">
        <f t="shared" si="44"/>
        <v>1986.49</v>
      </c>
    </row>
    <row r="46">
      <c r="A46" s="8" t="s">
        <v>108</v>
      </c>
      <c r="B46" s="8" t="s">
        <v>45</v>
      </c>
      <c r="C46" s="8">
        <v>89.0</v>
      </c>
      <c r="D46" s="8">
        <v>0.1</v>
      </c>
      <c r="E46" s="8">
        <v>93.0</v>
      </c>
      <c r="F46" s="8">
        <v>3600.01</v>
      </c>
      <c r="G46" s="26">
        <v>6.4516</v>
      </c>
      <c r="H46" s="22">
        <f t="shared" ref="H46:I46" si="45">E46-C46</f>
        <v>4</v>
      </c>
      <c r="I46" s="22">
        <f t="shared" si="45"/>
        <v>3599.91</v>
      </c>
    </row>
    <row r="47" hidden="1">
      <c r="A47" s="8" t="s">
        <v>122</v>
      </c>
      <c r="B47" s="8" t="s">
        <v>45</v>
      </c>
      <c r="C47" s="8">
        <v>92.0</v>
      </c>
      <c r="D47" s="8">
        <v>2.9</v>
      </c>
      <c r="E47" s="8">
        <v>92.0</v>
      </c>
      <c r="F47" s="8">
        <v>33.44</v>
      </c>
      <c r="G47" s="21">
        <v>0.0</v>
      </c>
      <c r="H47" s="22">
        <f t="shared" ref="H47:I47" si="46">E47-C47</f>
        <v>0</v>
      </c>
      <c r="I47" s="22">
        <f t="shared" si="46"/>
        <v>30.54</v>
      </c>
    </row>
    <row r="48" hidden="1">
      <c r="A48" s="8" t="s">
        <v>88</v>
      </c>
      <c r="B48" s="8" t="s">
        <v>45</v>
      </c>
      <c r="C48" s="8">
        <v>115.0</v>
      </c>
      <c r="D48" s="8">
        <v>3.6</v>
      </c>
      <c r="E48" s="8">
        <v>115.0</v>
      </c>
      <c r="F48" s="8">
        <v>3600.01</v>
      </c>
      <c r="G48" s="26">
        <v>8.6957</v>
      </c>
      <c r="H48" s="22">
        <f t="shared" ref="H48:I48" si="47">E48-C48</f>
        <v>0</v>
      </c>
      <c r="I48" s="22">
        <f t="shared" si="47"/>
        <v>3596.41</v>
      </c>
    </row>
    <row r="49">
      <c r="A49" s="8" t="s">
        <v>135</v>
      </c>
      <c r="B49" s="8" t="s">
        <v>45</v>
      </c>
      <c r="C49" s="8">
        <v>123.0</v>
      </c>
      <c r="D49" s="8">
        <v>3.3</v>
      </c>
      <c r="E49" s="8">
        <v>124.0</v>
      </c>
      <c r="F49" s="8">
        <v>3600.01</v>
      </c>
      <c r="G49" s="26">
        <v>12.9032</v>
      </c>
      <c r="H49" s="22">
        <f t="shared" ref="H49:I49" si="48">E49-C49</f>
        <v>1</v>
      </c>
      <c r="I49" s="22">
        <f t="shared" si="48"/>
        <v>3596.71</v>
      </c>
    </row>
    <row r="50">
      <c r="A50" s="8" t="s">
        <v>54</v>
      </c>
      <c r="B50" s="8" t="s">
        <v>45</v>
      </c>
      <c r="C50" s="8">
        <v>121.0</v>
      </c>
      <c r="D50" s="8">
        <v>4.7</v>
      </c>
      <c r="E50" s="8">
        <v>122.0</v>
      </c>
      <c r="F50" s="8">
        <v>3600.01</v>
      </c>
      <c r="G50" s="26">
        <v>7.377</v>
      </c>
      <c r="H50" s="22">
        <f t="shared" ref="H50:I50" si="49">E50-C50</f>
        <v>1</v>
      </c>
      <c r="I50" s="22">
        <f t="shared" si="49"/>
        <v>3595.31</v>
      </c>
    </row>
    <row r="51">
      <c r="A51" s="8" t="s">
        <v>148</v>
      </c>
      <c r="B51" s="8" t="s">
        <v>45</v>
      </c>
      <c r="C51" s="8">
        <v>96.0</v>
      </c>
      <c r="D51" s="8">
        <v>0.0</v>
      </c>
      <c r="E51" s="8">
        <v>116.0</v>
      </c>
      <c r="F51" s="8">
        <v>3600.01</v>
      </c>
      <c r="G51" s="26">
        <v>28.4483</v>
      </c>
      <c r="H51" s="22">
        <f t="shared" ref="H51:I51" si="50">E51-C51</f>
        <v>20</v>
      </c>
      <c r="I51" s="22">
        <f t="shared" si="50"/>
        <v>3600.01</v>
      </c>
    </row>
    <row r="52">
      <c r="A52" s="8" t="s">
        <v>76</v>
      </c>
      <c r="B52" s="8" t="s">
        <v>45</v>
      </c>
      <c r="C52" s="8">
        <v>123.0</v>
      </c>
      <c r="D52" s="8">
        <v>4.6</v>
      </c>
      <c r="E52" s="8">
        <v>127.0</v>
      </c>
      <c r="F52" s="8">
        <v>3600.01</v>
      </c>
      <c r="G52" s="26">
        <v>6.2992</v>
      </c>
      <c r="H52" s="22">
        <f t="shared" ref="H52:I52" si="51">E52-C52</f>
        <v>4</v>
      </c>
      <c r="I52" s="22">
        <f t="shared" si="51"/>
        <v>3595.41</v>
      </c>
    </row>
    <row r="53">
      <c r="A53" s="8" t="s">
        <v>62</v>
      </c>
      <c r="B53" s="8" t="s">
        <v>45</v>
      </c>
      <c r="C53" s="8">
        <v>184.0</v>
      </c>
      <c r="D53" s="8">
        <v>0.0</v>
      </c>
      <c r="E53" s="8">
        <v>215.0</v>
      </c>
      <c r="F53" s="8">
        <v>3600.02</v>
      </c>
      <c r="G53" s="26">
        <v>29.7674</v>
      </c>
      <c r="H53" s="22">
        <f t="shared" ref="H53:I53" si="52">E53-C53</f>
        <v>31</v>
      </c>
      <c r="I53" s="22">
        <f t="shared" si="52"/>
        <v>3600.02</v>
      </c>
    </row>
    <row r="54">
      <c r="A54" s="8" t="s">
        <v>72</v>
      </c>
      <c r="B54" s="8" t="s">
        <v>45</v>
      </c>
      <c r="C54" s="8">
        <v>150.0</v>
      </c>
      <c r="D54" s="8">
        <v>0.0</v>
      </c>
      <c r="E54" s="8">
        <v>184.0</v>
      </c>
      <c r="F54" s="8">
        <v>3600.01</v>
      </c>
      <c r="G54" s="26">
        <v>27.7174</v>
      </c>
      <c r="H54" s="22">
        <f t="shared" ref="H54:I54" si="53">E54-C54</f>
        <v>34</v>
      </c>
      <c r="I54" s="22">
        <f t="shared" si="53"/>
        <v>3600.01</v>
      </c>
    </row>
    <row r="55">
      <c r="A55" s="8" t="s">
        <v>74</v>
      </c>
      <c r="B55" s="8" t="s">
        <v>45</v>
      </c>
      <c r="C55" s="8">
        <v>191.0</v>
      </c>
      <c r="D55" s="8">
        <v>7.0</v>
      </c>
      <c r="E55" s="8">
        <v>195.0</v>
      </c>
      <c r="F55" s="8">
        <v>3600.01</v>
      </c>
      <c r="G55" s="26">
        <v>29.7436</v>
      </c>
      <c r="H55" s="22">
        <f t="shared" ref="H55:I55" si="54">E55-C55</f>
        <v>4</v>
      </c>
      <c r="I55" s="22">
        <f t="shared" si="54"/>
        <v>3593.01</v>
      </c>
    </row>
    <row r="56">
      <c r="A56" s="8" t="s">
        <v>120</v>
      </c>
      <c r="B56" s="8" t="s">
        <v>45</v>
      </c>
      <c r="C56" s="8">
        <v>175.0</v>
      </c>
      <c r="D56" s="8">
        <v>2.6</v>
      </c>
      <c r="E56" s="8">
        <v>180.0</v>
      </c>
      <c r="F56" s="8">
        <v>3600.01</v>
      </c>
      <c r="G56" s="26">
        <v>38.8889</v>
      </c>
      <c r="H56" s="22">
        <f t="shared" ref="H56:I56" si="55">E56-C56</f>
        <v>5</v>
      </c>
      <c r="I56" s="22">
        <f t="shared" si="55"/>
        <v>3597.41</v>
      </c>
    </row>
    <row r="57">
      <c r="A57" s="8" t="s">
        <v>119</v>
      </c>
      <c r="B57" s="8" t="s">
        <v>45</v>
      </c>
      <c r="C57" s="8">
        <v>189.0</v>
      </c>
      <c r="D57" s="8">
        <v>4.2</v>
      </c>
      <c r="E57" s="8">
        <v>194.0</v>
      </c>
      <c r="F57" s="8">
        <v>3600.01</v>
      </c>
      <c r="G57" s="26">
        <v>31.9588</v>
      </c>
      <c r="H57" s="22">
        <f t="shared" ref="H57:I57" si="56">E57-C57</f>
        <v>5</v>
      </c>
      <c r="I57" s="22">
        <f t="shared" si="56"/>
        <v>3595.81</v>
      </c>
    </row>
    <row r="58" hidden="1">
      <c r="A58" s="8" t="s">
        <v>101</v>
      </c>
      <c r="B58" s="8" t="s">
        <v>45</v>
      </c>
      <c r="C58" s="8">
        <v>293.0</v>
      </c>
      <c r="D58" s="8">
        <v>10.4</v>
      </c>
      <c r="E58" s="8">
        <v>293.0</v>
      </c>
      <c r="F58" s="8">
        <v>3631.57</v>
      </c>
      <c r="G58" s="26">
        <v>43.0034</v>
      </c>
      <c r="H58" s="22">
        <f t="shared" ref="H58:I58" si="57">E58-C58</f>
        <v>0</v>
      </c>
      <c r="I58" s="22">
        <f t="shared" si="57"/>
        <v>3621.17</v>
      </c>
    </row>
    <row r="59">
      <c r="A59" s="8" t="s">
        <v>117</v>
      </c>
      <c r="B59" s="8" t="s">
        <v>45</v>
      </c>
      <c r="C59" s="8">
        <v>238.0</v>
      </c>
      <c r="D59" s="8">
        <v>2.3</v>
      </c>
      <c r="E59" s="8">
        <v>271.0</v>
      </c>
      <c r="F59" s="8">
        <v>3600.02</v>
      </c>
      <c r="G59" s="26">
        <v>38.3764</v>
      </c>
      <c r="H59" s="22">
        <f t="shared" ref="H59:I59" si="58">E59-C59</f>
        <v>33</v>
      </c>
      <c r="I59" s="22">
        <f t="shared" si="58"/>
        <v>3597.72</v>
      </c>
    </row>
    <row r="60">
      <c r="A60" s="8" t="s">
        <v>98</v>
      </c>
      <c r="B60" s="8" t="s">
        <v>45</v>
      </c>
      <c r="C60" s="8">
        <v>273.0</v>
      </c>
      <c r="D60" s="8">
        <v>9.3</v>
      </c>
      <c r="E60" s="8">
        <v>290.0</v>
      </c>
      <c r="F60" s="8">
        <v>3600.0</v>
      </c>
      <c r="G60" s="21">
        <v>40.0</v>
      </c>
      <c r="H60" s="22">
        <f t="shared" ref="H60:I60" si="59">E60-C60</f>
        <v>17</v>
      </c>
      <c r="I60" s="22">
        <f t="shared" si="59"/>
        <v>3590.7</v>
      </c>
    </row>
    <row r="61">
      <c r="A61" s="8" t="s">
        <v>143</v>
      </c>
      <c r="B61" s="8" t="s">
        <v>45</v>
      </c>
      <c r="C61" s="8">
        <v>243.0</v>
      </c>
      <c r="D61" s="8">
        <v>5.9</v>
      </c>
      <c r="E61" s="8">
        <v>276.0</v>
      </c>
      <c r="F61" s="8">
        <v>3651.2</v>
      </c>
      <c r="G61" s="26">
        <v>38.7681</v>
      </c>
      <c r="H61" s="22">
        <f t="shared" ref="H61:I61" si="60">E61-C61</f>
        <v>33</v>
      </c>
      <c r="I61" s="22">
        <f t="shared" si="60"/>
        <v>3645.3</v>
      </c>
    </row>
    <row r="62">
      <c r="A62" s="8" t="s">
        <v>92</v>
      </c>
      <c r="B62" s="8" t="s">
        <v>45</v>
      </c>
      <c r="C62" s="8">
        <v>253.0</v>
      </c>
      <c r="D62" s="8">
        <v>7.4</v>
      </c>
      <c r="E62" s="8">
        <v>290.0</v>
      </c>
      <c r="F62" s="8">
        <v>3600.0</v>
      </c>
      <c r="G62" s="26">
        <v>41.3793</v>
      </c>
      <c r="H62" s="22">
        <f t="shared" ref="H62:I62" si="61">E62-C62</f>
        <v>37</v>
      </c>
      <c r="I62" s="22">
        <f t="shared" si="61"/>
        <v>3592.6</v>
      </c>
    </row>
    <row r="63">
      <c r="A63" s="8" t="s">
        <v>97</v>
      </c>
      <c r="B63" s="8" t="s">
        <v>45</v>
      </c>
      <c r="C63" s="8">
        <v>363.0</v>
      </c>
      <c r="D63" s="8">
        <v>13.8</v>
      </c>
      <c r="E63" s="8">
        <v>367.0</v>
      </c>
      <c r="F63" s="8">
        <v>3600.11</v>
      </c>
      <c r="G63" s="26">
        <v>61.3079</v>
      </c>
      <c r="H63" s="22">
        <f t="shared" ref="H63:I63" si="62">E63-C63</f>
        <v>4</v>
      </c>
      <c r="I63" s="22">
        <f t="shared" si="62"/>
        <v>3586.31</v>
      </c>
    </row>
    <row r="64" hidden="1">
      <c r="A64" s="8" t="s">
        <v>121</v>
      </c>
      <c r="B64" s="8" t="s">
        <v>45</v>
      </c>
      <c r="C64" s="8">
        <v>372.0</v>
      </c>
      <c r="D64" s="8">
        <v>35.0</v>
      </c>
      <c r="E64" s="8">
        <v>372.0</v>
      </c>
      <c r="F64" s="8">
        <v>3614.45</v>
      </c>
      <c r="G64" s="26">
        <v>45.4301</v>
      </c>
      <c r="H64" s="22">
        <f t="shared" ref="H64:I64" si="63">E64-C64</f>
        <v>0</v>
      </c>
      <c r="I64" s="22">
        <f t="shared" si="63"/>
        <v>3579.45</v>
      </c>
    </row>
    <row r="65">
      <c r="A65" s="8" t="s">
        <v>116</v>
      </c>
      <c r="B65" s="8" t="s">
        <v>45</v>
      </c>
      <c r="C65" s="8">
        <v>363.0</v>
      </c>
      <c r="D65" s="8">
        <v>48.6</v>
      </c>
      <c r="E65" s="8">
        <v>366.0</v>
      </c>
      <c r="F65" s="8">
        <v>3603.83</v>
      </c>
      <c r="G65" s="26">
        <v>56.0109</v>
      </c>
      <c r="H65" s="22">
        <f t="shared" ref="H65:I65" si="64">E65-C65</f>
        <v>3</v>
      </c>
      <c r="I65" s="22">
        <f t="shared" si="64"/>
        <v>3555.23</v>
      </c>
    </row>
    <row r="66">
      <c r="A66" s="8" t="s">
        <v>102</v>
      </c>
      <c r="B66" s="8" t="s">
        <v>45</v>
      </c>
      <c r="C66" s="8">
        <v>331.0</v>
      </c>
      <c r="D66" s="8">
        <v>21.6</v>
      </c>
      <c r="E66" s="8">
        <v>348.0</v>
      </c>
      <c r="F66" s="8">
        <v>3600.11</v>
      </c>
      <c r="G66" s="26">
        <v>49.1379</v>
      </c>
      <c r="H66" s="22">
        <f t="shared" ref="H66:I66" si="65">E66-C66</f>
        <v>17</v>
      </c>
      <c r="I66" s="22">
        <f t="shared" si="65"/>
        <v>3578.51</v>
      </c>
    </row>
    <row r="67">
      <c r="A67" s="8" t="s">
        <v>147</v>
      </c>
      <c r="B67" s="8" t="s">
        <v>45</v>
      </c>
      <c r="C67" s="8">
        <v>372.0</v>
      </c>
      <c r="D67" s="8">
        <v>15.8</v>
      </c>
      <c r="E67" s="8">
        <v>374.0</v>
      </c>
      <c r="F67" s="8">
        <v>3600.1</v>
      </c>
      <c r="G67" s="26">
        <v>51.3369</v>
      </c>
      <c r="H67" s="22">
        <f t="shared" ref="H67:I67" si="66">E67-C67</f>
        <v>2</v>
      </c>
      <c r="I67" s="22">
        <f t="shared" si="66"/>
        <v>3584.3</v>
      </c>
    </row>
    <row r="68">
      <c r="A68" s="8" t="s">
        <v>146</v>
      </c>
      <c r="B68" s="8" t="s">
        <v>45</v>
      </c>
      <c r="C68" s="8">
        <v>412.0</v>
      </c>
      <c r="D68" s="8">
        <v>21.4</v>
      </c>
      <c r="E68" s="8">
        <v>415.0</v>
      </c>
      <c r="F68" s="8">
        <v>3600.14</v>
      </c>
      <c r="G68" s="26">
        <v>572.2892</v>
      </c>
      <c r="H68" s="22">
        <f t="shared" ref="H68:I68" si="67">E68-C68</f>
        <v>3</v>
      </c>
      <c r="I68" s="22">
        <f t="shared" si="67"/>
        <v>3578.74</v>
      </c>
    </row>
    <row r="69">
      <c r="A69" s="8" t="s">
        <v>89</v>
      </c>
      <c r="B69" s="8" t="s">
        <v>45</v>
      </c>
      <c r="C69" s="8">
        <v>407.0</v>
      </c>
      <c r="D69" s="8">
        <v>13.6</v>
      </c>
      <c r="E69" s="8">
        <v>410.0</v>
      </c>
      <c r="F69" s="8">
        <v>3600.22</v>
      </c>
      <c r="G69" s="26">
        <v>565.3659</v>
      </c>
      <c r="H69" s="22">
        <f t="shared" ref="H69:I69" si="68">E69-C69</f>
        <v>3</v>
      </c>
      <c r="I69" s="22">
        <f t="shared" si="68"/>
        <v>3586.62</v>
      </c>
    </row>
    <row r="70">
      <c r="A70" s="8" t="s">
        <v>47</v>
      </c>
      <c r="B70" s="8" t="s">
        <v>45</v>
      </c>
      <c r="C70" s="8">
        <v>403.0</v>
      </c>
      <c r="D70" s="8">
        <v>0.2</v>
      </c>
      <c r="E70" s="8">
        <v>417.0</v>
      </c>
      <c r="F70" s="8">
        <v>3600.13</v>
      </c>
      <c r="G70" s="26">
        <v>544.6043</v>
      </c>
      <c r="H70" s="22">
        <f t="shared" ref="H70:I70" si="69">E70-C70</f>
        <v>14</v>
      </c>
      <c r="I70" s="22">
        <f t="shared" si="69"/>
        <v>3599.93</v>
      </c>
    </row>
    <row r="71" hidden="1">
      <c r="A71" s="8" t="s">
        <v>137</v>
      </c>
      <c r="B71" s="8" t="s">
        <v>45</v>
      </c>
      <c r="C71" s="8">
        <v>444.0</v>
      </c>
      <c r="D71" s="8">
        <v>25.9</v>
      </c>
      <c r="E71" s="8">
        <v>444.0</v>
      </c>
      <c r="F71" s="8">
        <v>3600.22</v>
      </c>
      <c r="G71" s="26">
        <v>642.7928</v>
      </c>
      <c r="H71" s="22">
        <f t="shared" ref="H71:I71" si="70">E71-C71</f>
        <v>0</v>
      </c>
      <c r="I71" s="22">
        <f t="shared" si="70"/>
        <v>3574.32</v>
      </c>
    </row>
    <row r="72">
      <c r="A72" s="8" t="s">
        <v>136</v>
      </c>
      <c r="B72" s="8" t="s">
        <v>45</v>
      </c>
      <c r="C72" s="8">
        <v>387.0</v>
      </c>
      <c r="D72" s="8">
        <v>0.0</v>
      </c>
      <c r="E72" s="8">
        <v>390.0</v>
      </c>
      <c r="F72" s="8">
        <v>3600.19</v>
      </c>
      <c r="G72" s="26">
        <v>783.5897</v>
      </c>
      <c r="H72" s="22">
        <f t="shared" ref="H72:I72" si="71">E72-C72</f>
        <v>3</v>
      </c>
      <c r="I72" s="22">
        <f t="shared" si="71"/>
        <v>3600.19</v>
      </c>
    </row>
    <row r="73" hidden="1">
      <c r="A73" s="8" t="s">
        <v>128</v>
      </c>
      <c r="B73" s="8" t="s">
        <v>45</v>
      </c>
      <c r="C73" s="8">
        <v>593.0</v>
      </c>
      <c r="D73" s="8">
        <v>12.6</v>
      </c>
      <c r="E73" s="8">
        <v>593.0</v>
      </c>
      <c r="F73" s="8">
        <v>3600.08</v>
      </c>
      <c r="G73" s="26">
        <v>838.1113</v>
      </c>
      <c r="H73" s="22">
        <f t="shared" ref="H73:I73" si="72">E73-C73</f>
        <v>0</v>
      </c>
      <c r="I73" s="22">
        <f t="shared" si="72"/>
        <v>3587.48</v>
      </c>
    </row>
    <row r="74" hidden="1">
      <c r="A74" s="8" t="s">
        <v>68</v>
      </c>
      <c r="B74" s="8" t="s">
        <v>45</v>
      </c>
      <c r="C74" s="8">
        <v>598.0</v>
      </c>
      <c r="D74" s="8">
        <v>28.3</v>
      </c>
      <c r="E74" s="8">
        <v>598.0</v>
      </c>
      <c r="F74" s="8">
        <v>3600.14</v>
      </c>
      <c r="G74" s="26">
        <v>846.3211</v>
      </c>
      <c r="H74" s="22">
        <f t="shared" ref="H74:I74" si="73">E74-C74</f>
        <v>0</v>
      </c>
      <c r="I74" s="22">
        <f t="shared" si="73"/>
        <v>3571.84</v>
      </c>
    </row>
    <row r="75" hidden="1">
      <c r="A75" s="8" t="s">
        <v>112</v>
      </c>
      <c r="B75" s="8" t="s">
        <v>45</v>
      </c>
      <c r="C75" s="8">
        <v>629.0</v>
      </c>
      <c r="D75" s="8">
        <v>50.9</v>
      </c>
      <c r="E75" s="8">
        <v>629.0</v>
      </c>
      <c r="F75" s="8">
        <v>3600.1</v>
      </c>
      <c r="G75" s="26">
        <v>785.8506</v>
      </c>
      <c r="H75" s="22">
        <f t="shared" ref="H75:I75" si="74">E75-C75</f>
        <v>0</v>
      </c>
      <c r="I75" s="22">
        <f t="shared" si="74"/>
        <v>3549.2</v>
      </c>
    </row>
    <row r="76" hidden="1">
      <c r="A76" s="8" t="s">
        <v>145</v>
      </c>
      <c r="B76" s="8" t="s">
        <v>45</v>
      </c>
      <c r="C76" s="8">
        <v>583.0</v>
      </c>
      <c r="D76" s="8">
        <v>30.3</v>
      </c>
      <c r="E76" s="8">
        <v>583.0</v>
      </c>
      <c r="F76" s="8">
        <v>3600.06</v>
      </c>
      <c r="G76" s="26">
        <v>867.2384</v>
      </c>
      <c r="H76" s="22">
        <f t="shared" ref="H76:I76" si="75">E76-C76</f>
        <v>0</v>
      </c>
      <c r="I76" s="22">
        <f t="shared" si="75"/>
        <v>3569.76</v>
      </c>
    </row>
    <row r="77" hidden="1">
      <c r="A77" s="8" t="s">
        <v>56</v>
      </c>
      <c r="B77" s="8" t="s">
        <v>45</v>
      </c>
      <c r="C77" s="8">
        <v>541.0</v>
      </c>
      <c r="D77" s="8">
        <v>7.7</v>
      </c>
      <c r="E77" s="8">
        <v>541.0</v>
      </c>
      <c r="F77" s="8">
        <v>3600.08</v>
      </c>
      <c r="G77" s="26">
        <v>909.6118</v>
      </c>
      <c r="H77" s="22">
        <f t="shared" ref="H77:I77" si="76">E77-C77</f>
        <v>0</v>
      </c>
      <c r="I77" s="22">
        <f t="shared" si="76"/>
        <v>3592.38</v>
      </c>
    </row>
  </sheetData>
  <autoFilter ref="$A$1:$I$77">
    <filterColumn colId="7">
      <filters>
        <filter val="22"/>
        <filter val="24"/>
        <filter val="46"/>
        <filter val="116"/>
        <filter val="93"/>
        <filter val="31"/>
        <filter val="54"/>
        <filter val="10"/>
        <filter val="77"/>
        <filter val="33"/>
        <filter val="34"/>
        <filter val="13"/>
        <filter val="14"/>
        <filter val="37"/>
        <filter val="16"/>
        <filter val="17"/>
        <filter val="282"/>
        <filter val="183"/>
        <filter val="120"/>
        <filter val="1"/>
        <filter val="2"/>
        <filter val="3"/>
        <filter val="202"/>
        <filter val="4"/>
        <filter val="5"/>
        <filter val="7"/>
        <filter val="8"/>
        <filter val="20"/>
        <filter val="21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5.13"/>
    <col customWidth="1" min="3" max="3" width="27.38"/>
    <col customWidth="1" min="4" max="4" width="24.13"/>
    <col customWidth="1" min="5" max="5" width="21.63"/>
    <col customWidth="1" min="6" max="6" width="18.0"/>
    <col customWidth="1" min="7" max="7" width="16.5"/>
    <col customWidth="1" min="8" max="8" width="18.13"/>
    <col customWidth="1" min="9" max="9" width="22.13"/>
    <col customWidth="1" min="10" max="10" width="17.63"/>
    <col customWidth="1" min="11" max="11" width="21.5"/>
  </cols>
  <sheetData>
    <row r="1">
      <c r="A1" s="27" t="s">
        <v>38</v>
      </c>
      <c r="B1" s="27" t="s">
        <v>39</v>
      </c>
      <c r="C1" s="28" t="s">
        <v>174</v>
      </c>
      <c r="D1" s="28" t="s">
        <v>175</v>
      </c>
      <c r="E1" s="27" t="s">
        <v>176</v>
      </c>
      <c r="F1" s="27" t="s">
        <v>169</v>
      </c>
      <c r="G1" s="27" t="s">
        <v>168</v>
      </c>
      <c r="H1" s="29" t="s">
        <v>177</v>
      </c>
      <c r="I1" s="29" t="s">
        <v>179</v>
      </c>
      <c r="J1" s="29" t="s">
        <v>178</v>
      </c>
      <c r="K1" s="29" t="s">
        <v>180</v>
      </c>
      <c r="L1" s="1"/>
    </row>
    <row r="2">
      <c r="A2" s="30" t="s">
        <v>93</v>
      </c>
      <c r="B2" s="30" t="s">
        <v>53</v>
      </c>
      <c r="C2" s="29">
        <v>185.0</v>
      </c>
      <c r="D2" s="29">
        <v>0.0</v>
      </c>
      <c r="E2" s="30">
        <v>185.0</v>
      </c>
      <c r="F2" s="30">
        <v>0.0</v>
      </c>
      <c r="G2" s="30">
        <v>0.0</v>
      </c>
      <c r="H2" s="31">
        <f t="shared" ref="H2:H78" si="1">E2-C2</f>
        <v>0</v>
      </c>
      <c r="I2" s="31" t="str">
        <f t="shared" ref="I2:I78" si="2">IF(H2=0,"Igual",IF(H2&gt;0,"Gurobi","Metaheurística"))</f>
        <v>Igual</v>
      </c>
      <c r="J2" s="31">
        <f t="shared" ref="J2:J78" si="3">F2-D2</f>
        <v>0</v>
      </c>
      <c r="K2" s="31" t="str">
        <f t="shared" ref="K2:K78" si="4">IF(J2=0,"Igual",IF(J2&lt;0,"Gurobi","Metaheurística"))</f>
        <v>Igual</v>
      </c>
    </row>
    <row r="3">
      <c r="A3" s="30" t="s">
        <v>36</v>
      </c>
      <c r="B3" s="30" t="s">
        <v>53</v>
      </c>
      <c r="C3" s="29">
        <v>159.0</v>
      </c>
      <c r="D3" s="29">
        <v>0.0</v>
      </c>
      <c r="E3" s="30">
        <v>159.0</v>
      </c>
      <c r="F3" s="30">
        <v>0.01</v>
      </c>
      <c r="G3" s="30">
        <v>0.0</v>
      </c>
      <c r="H3" s="31">
        <f t="shared" si="1"/>
        <v>0</v>
      </c>
      <c r="I3" s="31" t="str">
        <f t="shared" si="2"/>
        <v>Igual</v>
      </c>
      <c r="J3" s="31">
        <f t="shared" si="3"/>
        <v>0.01</v>
      </c>
      <c r="K3" s="31" t="str">
        <f t="shared" si="4"/>
        <v>Metaheurística</v>
      </c>
    </row>
    <row r="4">
      <c r="A4" s="30" t="s">
        <v>55</v>
      </c>
      <c r="B4" s="30" t="s">
        <v>53</v>
      </c>
      <c r="C4" s="29">
        <v>378.0</v>
      </c>
      <c r="D4" s="29">
        <v>0.0</v>
      </c>
      <c r="E4" s="30">
        <v>378.0</v>
      </c>
      <c r="F4" s="30">
        <v>0.07</v>
      </c>
      <c r="G4" s="30">
        <v>0.0</v>
      </c>
      <c r="H4" s="31">
        <f t="shared" si="1"/>
        <v>0</v>
      </c>
      <c r="I4" s="31" t="str">
        <f t="shared" si="2"/>
        <v>Igual</v>
      </c>
      <c r="J4" s="31">
        <f t="shared" si="3"/>
        <v>0.07</v>
      </c>
      <c r="K4" s="31" t="str">
        <f t="shared" si="4"/>
        <v>Metaheurística</v>
      </c>
    </row>
    <row r="5">
      <c r="A5" s="30" t="s">
        <v>141</v>
      </c>
      <c r="B5" s="30" t="s">
        <v>53</v>
      </c>
      <c r="C5" s="29">
        <v>247.0</v>
      </c>
      <c r="D5" s="29">
        <v>0.0</v>
      </c>
      <c r="E5" s="30">
        <v>247.0</v>
      </c>
      <c r="F5" s="30">
        <v>0.12</v>
      </c>
      <c r="G5" s="30">
        <v>0.0</v>
      </c>
      <c r="H5" s="31">
        <f t="shared" si="1"/>
        <v>0</v>
      </c>
      <c r="I5" s="31" t="str">
        <f t="shared" si="2"/>
        <v>Igual</v>
      </c>
      <c r="J5" s="31">
        <f t="shared" si="3"/>
        <v>0.12</v>
      </c>
      <c r="K5" s="31" t="str">
        <f t="shared" si="4"/>
        <v>Metaheurística</v>
      </c>
    </row>
    <row r="6">
      <c r="A6" s="30" t="s">
        <v>109</v>
      </c>
      <c r="B6" s="30" t="s">
        <v>53</v>
      </c>
      <c r="C6" s="29">
        <v>410.0</v>
      </c>
      <c r="D6" s="29">
        <v>0.0</v>
      </c>
      <c r="E6" s="30">
        <v>419.0</v>
      </c>
      <c r="F6" s="30">
        <v>0.26</v>
      </c>
      <c r="G6" s="30">
        <v>0.0</v>
      </c>
      <c r="H6" s="31">
        <f t="shared" si="1"/>
        <v>9</v>
      </c>
      <c r="I6" s="31" t="str">
        <f t="shared" si="2"/>
        <v>Gurobi</v>
      </c>
      <c r="J6" s="31">
        <f t="shared" si="3"/>
        <v>0.26</v>
      </c>
      <c r="K6" s="31" t="str">
        <f t="shared" si="4"/>
        <v>Metaheurística</v>
      </c>
    </row>
    <row r="7">
      <c r="A7" s="30" t="s">
        <v>85</v>
      </c>
      <c r="B7" s="30" t="s">
        <v>53</v>
      </c>
      <c r="C7" s="29">
        <v>363.0</v>
      </c>
      <c r="D7" s="29">
        <v>0.0</v>
      </c>
      <c r="E7" s="30">
        <v>363.0</v>
      </c>
      <c r="F7" s="30">
        <v>0.28</v>
      </c>
      <c r="G7" s="30">
        <v>0.0</v>
      </c>
      <c r="H7" s="31">
        <f t="shared" si="1"/>
        <v>0</v>
      </c>
      <c r="I7" s="31" t="str">
        <f t="shared" si="2"/>
        <v>Igual</v>
      </c>
      <c r="J7" s="31">
        <f t="shared" si="3"/>
        <v>0.28</v>
      </c>
      <c r="K7" s="31" t="str">
        <f t="shared" si="4"/>
        <v>Metaheurística</v>
      </c>
    </row>
    <row r="8">
      <c r="A8" s="30" t="s">
        <v>105</v>
      </c>
      <c r="B8" s="30" t="s">
        <v>53</v>
      </c>
      <c r="C8" s="29">
        <v>467.0</v>
      </c>
      <c r="D8" s="29">
        <v>0.0</v>
      </c>
      <c r="E8" s="30">
        <v>467.0</v>
      </c>
      <c r="F8" s="30">
        <v>1.09</v>
      </c>
      <c r="G8" s="30">
        <v>0.0</v>
      </c>
      <c r="H8" s="31">
        <f t="shared" si="1"/>
        <v>0</v>
      </c>
      <c r="I8" s="31" t="str">
        <f t="shared" si="2"/>
        <v>Igual</v>
      </c>
      <c r="J8" s="31">
        <f t="shared" si="3"/>
        <v>1.09</v>
      </c>
      <c r="K8" s="31" t="str">
        <f t="shared" si="4"/>
        <v>Metaheurística</v>
      </c>
    </row>
    <row r="9">
      <c r="A9" s="30" t="s">
        <v>126</v>
      </c>
      <c r="B9" s="30" t="s">
        <v>53</v>
      </c>
      <c r="C9" s="29">
        <v>513.0</v>
      </c>
      <c r="D9" s="29">
        <v>0.0</v>
      </c>
      <c r="E9" s="30">
        <v>513.0</v>
      </c>
      <c r="F9" s="30">
        <v>1483.41</v>
      </c>
      <c r="G9" s="30">
        <v>0.0</v>
      </c>
      <c r="H9" s="31">
        <f t="shared" si="1"/>
        <v>0</v>
      </c>
      <c r="I9" s="31" t="str">
        <f t="shared" si="2"/>
        <v>Igual</v>
      </c>
      <c r="J9" s="31">
        <f t="shared" si="3"/>
        <v>1483.41</v>
      </c>
      <c r="K9" s="31" t="str">
        <f t="shared" si="4"/>
        <v>Metaheurística</v>
      </c>
    </row>
    <row r="10">
      <c r="A10" s="30" t="s">
        <v>65</v>
      </c>
      <c r="B10" s="30" t="s">
        <v>53</v>
      </c>
      <c r="C10" s="29">
        <v>757.0</v>
      </c>
      <c r="D10" s="29">
        <v>0.0</v>
      </c>
      <c r="E10" s="30">
        <v>757.0</v>
      </c>
      <c r="F10" s="30">
        <v>779.79</v>
      </c>
      <c r="G10" s="30">
        <v>0.0</v>
      </c>
      <c r="H10" s="31">
        <f t="shared" si="1"/>
        <v>0</v>
      </c>
      <c r="I10" s="31" t="str">
        <f t="shared" si="2"/>
        <v>Igual</v>
      </c>
      <c r="J10" s="31">
        <f t="shared" si="3"/>
        <v>779.79</v>
      </c>
      <c r="K10" s="31" t="str">
        <f t="shared" si="4"/>
        <v>Metaheurística</v>
      </c>
    </row>
    <row r="11">
      <c r="A11" s="30" t="s">
        <v>114</v>
      </c>
      <c r="B11" s="30" t="s">
        <v>53</v>
      </c>
      <c r="C11" s="29">
        <v>881.0</v>
      </c>
      <c r="D11" s="29">
        <v>0.0</v>
      </c>
      <c r="E11" s="30">
        <v>881.0</v>
      </c>
      <c r="F11" s="30">
        <v>3600.02</v>
      </c>
      <c r="G11" s="32">
        <v>4.3133</v>
      </c>
      <c r="H11" s="31">
        <f t="shared" si="1"/>
        <v>0</v>
      </c>
      <c r="I11" s="31" t="str">
        <f t="shared" si="2"/>
        <v>Igual</v>
      </c>
      <c r="J11" s="31">
        <f t="shared" si="3"/>
        <v>3600.02</v>
      </c>
      <c r="K11" s="31" t="str">
        <f t="shared" si="4"/>
        <v>Metaheurística</v>
      </c>
    </row>
    <row r="12">
      <c r="A12" s="30" t="s">
        <v>69</v>
      </c>
      <c r="B12" s="30" t="s">
        <v>53</v>
      </c>
      <c r="C12" s="29">
        <v>1076.0</v>
      </c>
      <c r="D12" s="29">
        <v>0.0</v>
      </c>
      <c r="E12" s="30">
        <v>1105.0</v>
      </c>
      <c r="F12" s="30">
        <v>3600.02</v>
      </c>
      <c r="G12" s="32">
        <v>9.8643</v>
      </c>
      <c r="H12" s="31">
        <f t="shared" si="1"/>
        <v>29</v>
      </c>
      <c r="I12" s="31" t="str">
        <f t="shared" si="2"/>
        <v>Gurobi</v>
      </c>
      <c r="J12" s="31">
        <f t="shared" si="3"/>
        <v>3600.02</v>
      </c>
      <c r="K12" s="31" t="str">
        <f t="shared" si="4"/>
        <v>Metaheurística</v>
      </c>
    </row>
    <row r="13">
      <c r="A13" s="30" t="s">
        <v>150</v>
      </c>
      <c r="B13" s="30" t="s">
        <v>53</v>
      </c>
      <c r="C13" s="29">
        <v>1263.0</v>
      </c>
      <c r="D13" s="29">
        <v>0.0</v>
      </c>
      <c r="E13" s="30">
        <v>1302.0</v>
      </c>
      <c r="F13" s="30">
        <v>3600.0</v>
      </c>
      <c r="G13" s="32">
        <v>9.1398</v>
      </c>
      <c r="H13" s="31">
        <f t="shared" si="1"/>
        <v>39</v>
      </c>
      <c r="I13" s="31" t="str">
        <f t="shared" si="2"/>
        <v>Gurobi</v>
      </c>
      <c r="J13" s="31">
        <f t="shared" si="3"/>
        <v>3600</v>
      </c>
      <c r="K13" s="31" t="str">
        <f t="shared" si="4"/>
        <v>Metaheurística</v>
      </c>
    </row>
    <row r="14">
      <c r="A14" s="30" t="s">
        <v>123</v>
      </c>
      <c r="B14" s="30" t="s">
        <v>53</v>
      </c>
      <c r="C14" s="29">
        <v>1288.0</v>
      </c>
      <c r="D14" s="29">
        <v>0.0</v>
      </c>
      <c r="E14" s="30">
        <v>1327.0</v>
      </c>
      <c r="F14" s="30">
        <v>3600.02</v>
      </c>
      <c r="G14" s="32">
        <v>12.8109</v>
      </c>
      <c r="H14" s="31">
        <f t="shared" si="1"/>
        <v>39</v>
      </c>
      <c r="I14" s="31" t="str">
        <f t="shared" si="2"/>
        <v>Gurobi</v>
      </c>
      <c r="J14" s="31">
        <f t="shared" si="3"/>
        <v>3600.02</v>
      </c>
      <c r="K14" s="31" t="str">
        <f t="shared" si="4"/>
        <v>Metaheurística</v>
      </c>
    </row>
    <row r="15">
      <c r="A15" s="30" t="s">
        <v>61</v>
      </c>
      <c r="B15" s="30" t="s">
        <v>53</v>
      </c>
      <c r="C15" s="29">
        <v>1183.0</v>
      </c>
      <c r="D15" s="29">
        <v>0.0</v>
      </c>
      <c r="E15" s="30">
        <v>1189.0</v>
      </c>
      <c r="F15" s="30">
        <v>3611.01</v>
      </c>
      <c r="G15" s="32">
        <v>20.6897</v>
      </c>
      <c r="H15" s="31">
        <f t="shared" si="1"/>
        <v>6</v>
      </c>
      <c r="I15" s="31" t="str">
        <f t="shared" si="2"/>
        <v>Gurobi</v>
      </c>
      <c r="J15" s="31">
        <f t="shared" si="3"/>
        <v>3611.01</v>
      </c>
      <c r="K15" s="31" t="str">
        <f t="shared" si="4"/>
        <v>Metaheurística</v>
      </c>
    </row>
    <row r="16">
      <c r="A16" s="30" t="s">
        <v>100</v>
      </c>
      <c r="B16" s="30" t="s">
        <v>53</v>
      </c>
      <c r="C16" s="29">
        <v>1466.0</v>
      </c>
      <c r="D16" s="29">
        <v>0.0</v>
      </c>
      <c r="E16" s="30">
        <v>1611.0</v>
      </c>
      <c r="F16" s="30">
        <v>3600.04</v>
      </c>
      <c r="G16" s="32">
        <v>15.7666</v>
      </c>
      <c r="H16" s="31">
        <f t="shared" si="1"/>
        <v>145</v>
      </c>
      <c r="I16" s="31" t="str">
        <f t="shared" si="2"/>
        <v>Gurobi</v>
      </c>
      <c r="J16" s="31">
        <f t="shared" si="3"/>
        <v>3600.04</v>
      </c>
      <c r="K16" s="31" t="str">
        <f t="shared" si="4"/>
        <v>Metaheurística</v>
      </c>
    </row>
    <row r="17">
      <c r="A17" s="30" t="s">
        <v>94</v>
      </c>
      <c r="B17" s="30" t="s">
        <v>53</v>
      </c>
      <c r="C17" s="29">
        <v>1661.0</v>
      </c>
      <c r="D17" s="29">
        <v>0.1</v>
      </c>
      <c r="E17" s="30">
        <v>1524.0</v>
      </c>
      <c r="F17" s="30">
        <v>3600.2</v>
      </c>
      <c r="G17" s="32">
        <v>468.1102</v>
      </c>
      <c r="H17" s="31">
        <f t="shared" si="1"/>
        <v>-137</v>
      </c>
      <c r="I17" s="31" t="str">
        <f t="shared" si="2"/>
        <v>Metaheurística</v>
      </c>
      <c r="J17" s="31">
        <f t="shared" si="3"/>
        <v>3600.1</v>
      </c>
      <c r="K17" s="31" t="str">
        <f t="shared" si="4"/>
        <v>Metaheurística</v>
      </c>
    </row>
    <row r="18">
      <c r="A18" s="29" t="s">
        <v>132</v>
      </c>
      <c r="B18" s="29" t="s">
        <v>53</v>
      </c>
      <c r="C18" s="29">
        <v>2130.0</v>
      </c>
      <c r="D18" s="29">
        <v>0.2</v>
      </c>
      <c r="E18" s="30">
        <v>1711.0</v>
      </c>
      <c r="F18" s="30">
        <v>3600.05</v>
      </c>
      <c r="G18" s="32">
        <v>493.2526</v>
      </c>
      <c r="H18" s="31">
        <f t="shared" si="1"/>
        <v>-419</v>
      </c>
      <c r="I18" s="31" t="str">
        <f t="shared" si="2"/>
        <v>Metaheurística</v>
      </c>
      <c r="J18" s="31">
        <f t="shared" si="3"/>
        <v>3599.85</v>
      </c>
      <c r="K18" s="31" t="str">
        <f t="shared" si="4"/>
        <v>Metaheurística</v>
      </c>
    </row>
    <row r="19">
      <c r="A19" s="30" t="s">
        <v>125</v>
      </c>
      <c r="B19" s="30" t="s">
        <v>45</v>
      </c>
      <c r="C19" s="29">
        <v>13.0</v>
      </c>
      <c r="D19" s="29">
        <v>0.0</v>
      </c>
      <c r="E19" s="30">
        <v>13.0</v>
      </c>
      <c r="F19" s="30">
        <v>0.01</v>
      </c>
      <c r="G19" s="30">
        <v>0.0</v>
      </c>
      <c r="H19" s="31">
        <f t="shared" si="1"/>
        <v>0</v>
      </c>
      <c r="I19" s="31" t="str">
        <f t="shared" si="2"/>
        <v>Igual</v>
      </c>
      <c r="J19" s="31">
        <f t="shared" si="3"/>
        <v>0.01</v>
      </c>
      <c r="K19" s="31" t="str">
        <f t="shared" si="4"/>
        <v>Metaheurística</v>
      </c>
    </row>
    <row r="20">
      <c r="A20" s="30" t="s">
        <v>111</v>
      </c>
      <c r="B20" s="30" t="s">
        <v>45</v>
      </c>
      <c r="C20" s="29">
        <v>12.0</v>
      </c>
      <c r="D20" s="29">
        <v>0.0</v>
      </c>
      <c r="E20" s="30">
        <v>12.0</v>
      </c>
      <c r="F20" s="30">
        <v>0.0</v>
      </c>
      <c r="G20" s="30">
        <v>0.0</v>
      </c>
      <c r="H20" s="31">
        <f t="shared" si="1"/>
        <v>0</v>
      </c>
      <c r="I20" s="31" t="str">
        <f t="shared" si="2"/>
        <v>Igual</v>
      </c>
      <c r="J20" s="31">
        <f t="shared" si="3"/>
        <v>0</v>
      </c>
      <c r="K20" s="31" t="str">
        <f t="shared" si="4"/>
        <v>Igual</v>
      </c>
    </row>
    <row r="21">
      <c r="A21" s="30" t="s">
        <v>133</v>
      </c>
      <c r="B21" s="30" t="s">
        <v>45</v>
      </c>
      <c r="C21" s="29">
        <v>13.0</v>
      </c>
      <c r="D21" s="29">
        <v>0.0</v>
      </c>
      <c r="E21" s="30">
        <v>13.0</v>
      </c>
      <c r="F21" s="30">
        <v>0.0</v>
      </c>
      <c r="G21" s="30">
        <v>0.0</v>
      </c>
      <c r="H21" s="31">
        <f t="shared" si="1"/>
        <v>0</v>
      </c>
      <c r="I21" s="31" t="str">
        <f t="shared" si="2"/>
        <v>Igual</v>
      </c>
      <c r="J21" s="31">
        <f t="shared" si="3"/>
        <v>0</v>
      </c>
      <c r="K21" s="31" t="str">
        <f t="shared" si="4"/>
        <v>Igual</v>
      </c>
    </row>
    <row r="22">
      <c r="A22" s="30" t="s">
        <v>124</v>
      </c>
      <c r="B22" s="30" t="s">
        <v>45</v>
      </c>
      <c r="C22" s="29">
        <v>13.0</v>
      </c>
      <c r="D22" s="29">
        <v>0.0</v>
      </c>
      <c r="E22" s="30">
        <v>13.0</v>
      </c>
      <c r="F22" s="30">
        <v>0.01</v>
      </c>
      <c r="G22" s="30">
        <v>0.0</v>
      </c>
      <c r="H22" s="31">
        <f t="shared" si="1"/>
        <v>0</v>
      </c>
      <c r="I22" s="31" t="str">
        <f t="shared" si="2"/>
        <v>Igual</v>
      </c>
      <c r="J22" s="31">
        <f t="shared" si="3"/>
        <v>0.01</v>
      </c>
      <c r="K22" s="31" t="str">
        <f t="shared" si="4"/>
        <v>Metaheurística</v>
      </c>
    </row>
    <row r="23">
      <c r="A23" s="30" t="s">
        <v>49</v>
      </c>
      <c r="B23" s="30" t="s">
        <v>45</v>
      </c>
      <c r="C23" s="29">
        <v>20.0</v>
      </c>
      <c r="D23" s="29">
        <v>0.0</v>
      </c>
      <c r="E23" s="30">
        <v>20.0</v>
      </c>
      <c r="F23" s="30">
        <v>0.01</v>
      </c>
      <c r="G23" s="30">
        <v>0.0</v>
      </c>
      <c r="H23" s="31">
        <f t="shared" si="1"/>
        <v>0</v>
      </c>
      <c r="I23" s="31" t="str">
        <f t="shared" si="2"/>
        <v>Igual</v>
      </c>
      <c r="J23" s="31">
        <f t="shared" si="3"/>
        <v>0.01</v>
      </c>
      <c r="K23" s="31" t="str">
        <f t="shared" si="4"/>
        <v>Metaheurística</v>
      </c>
    </row>
    <row r="24">
      <c r="A24" s="30" t="s">
        <v>130</v>
      </c>
      <c r="B24" s="30" t="s">
        <v>45</v>
      </c>
      <c r="C24" s="29">
        <v>20.0</v>
      </c>
      <c r="D24" s="29">
        <v>0.0</v>
      </c>
      <c r="E24" s="30">
        <v>20.0</v>
      </c>
      <c r="F24" s="30">
        <v>0.01</v>
      </c>
      <c r="G24" s="30">
        <v>0.0</v>
      </c>
      <c r="H24" s="31">
        <f t="shared" si="1"/>
        <v>0</v>
      </c>
      <c r="I24" s="31" t="str">
        <f t="shared" si="2"/>
        <v>Igual</v>
      </c>
      <c r="J24" s="31">
        <f t="shared" si="3"/>
        <v>0.01</v>
      </c>
      <c r="K24" s="31" t="str">
        <f t="shared" si="4"/>
        <v>Metaheurística</v>
      </c>
    </row>
    <row r="25">
      <c r="A25" s="30" t="s">
        <v>140</v>
      </c>
      <c r="B25" s="30" t="s">
        <v>45</v>
      </c>
      <c r="C25" s="29">
        <v>18.0</v>
      </c>
      <c r="D25" s="29">
        <v>0.0</v>
      </c>
      <c r="E25" s="30">
        <v>18.0</v>
      </c>
      <c r="F25" s="30">
        <v>0.07</v>
      </c>
      <c r="G25" s="30">
        <v>0.0</v>
      </c>
      <c r="H25" s="31">
        <f t="shared" si="1"/>
        <v>0</v>
      </c>
      <c r="I25" s="31" t="str">
        <f t="shared" si="2"/>
        <v>Igual</v>
      </c>
      <c r="J25" s="31">
        <f t="shared" si="3"/>
        <v>0.07</v>
      </c>
      <c r="K25" s="31" t="str">
        <f t="shared" si="4"/>
        <v>Metaheurística</v>
      </c>
    </row>
    <row r="26">
      <c r="A26" s="30" t="s">
        <v>60</v>
      </c>
      <c r="B26" s="30" t="s">
        <v>45</v>
      </c>
      <c r="C26" s="29">
        <v>19.0</v>
      </c>
      <c r="D26" s="29">
        <v>0.0</v>
      </c>
      <c r="E26" s="30">
        <v>19.0</v>
      </c>
      <c r="F26" s="30">
        <v>0.01</v>
      </c>
      <c r="G26" s="30">
        <v>0.0</v>
      </c>
      <c r="H26" s="31">
        <f t="shared" si="1"/>
        <v>0</v>
      </c>
      <c r="I26" s="31" t="str">
        <f t="shared" si="2"/>
        <v>Igual</v>
      </c>
      <c r="J26" s="31">
        <f t="shared" si="3"/>
        <v>0.01</v>
      </c>
      <c r="K26" s="31" t="str">
        <f t="shared" si="4"/>
        <v>Metaheurística</v>
      </c>
    </row>
    <row r="27">
      <c r="A27" s="30" t="s">
        <v>59</v>
      </c>
      <c r="B27" s="30" t="s">
        <v>45</v>
      </c>
      <c r="C27" s="29">
        <v>23.0</v>
      </c>
      <c r="D27" s="29">
        <v>0.0</v>
      </c>
      <c r="E27" s="30">
        <v>23.0</v>
      </c>
      <c r="F27" s="30">
        <v>0.02</v>
      </c>
      <c r="G27" s="30">
        <v>0.0</v>
      </c>
      <c r="H27" s="31">
        <f t="shared" si="1"/>
        <v>0</v>
      </c>
      <c r="I27" s="31" t="str">
        <f t="shared" si="2"/>
        <v>Igual</v>
      </c>
      <c r="J27" s="31">
        <f t="shared" si="3"/>
        <v>0.02</v>
      </c>
      <c r="K27" s="31" t="str">
        <f t="shared" si="4"/>
        <v>Metaheurística</v>
      </c>
    </row>
    <row r="28">
      <c r="A28" s="30" t="s">
        <v>50</v>
      </c>
      <c r="B28" s="30" t="s">
        <v>45</v>
      </c>
      <c r="C28" s="29">
        <v>22.0</v>
      </c>
      <c r="D28" s="29">
        <v>0.0</v>
      </c>
      <c r="E28" s="30">
        <v>22.0</v>
      </c>
      <c r="F28" s="30">
        <v>0.01</v>
      </c>
      <c r="G28" s="30">
        <v>0.0</v>
      </c>
      <c r="H28" s="31">
        <f t="shared" si="1"/>
        <v>0</v>
      </c>
      <c r="I28" s="31" t="str">
        <f t="shared" si="2"/>
        <v>Igual</v>
      </c>
      <c r="J28" s="31">
        <f t="shared" si="3"/>
        <v>0.01</v>
      </c>
      <c r="K28" s="31" t="str">
        <f t="shared" si="4"/>
        <v>Metaheurística</v>
      </c>
    </row>
    <row r="29">
      <c r="A29" s="30" t="s">
        <v>95</v>
      </c>
      <c r="B29" s="30" t="s">
        <v>45</v>
      </c>
      <c r="C29" s="29">
        <v>34.0</v>
      </c>
      <c r="D29" s="29">
        <v>0.0</v>
      </c>
      <c r="E29" s="30">
        <v>34.0</v>
      </c>
      <c r="F29" s="30">
        <v>0.14</v>
      </c>
      <c r="G29" s="30">
        <v>0.0</v>
      </c>
      <c r="H29" s="31">
        <f t="shared" si="1"/>
        <v>0</v>
      </c>
      <c r="I29" s="31" t="str">
        <f t="shared" si="2"/>
        <v>Igual</v>
      </c>
      <c r="J29" s="31">
        <f t="shared" si="3"/>
        <v>0.14</v>
      </c>
      <c r="K29" s="31" t="str">
        <f t="shared" si="4"/>
        <v>Metaheurística</v>
      </c>
    </row>
    <row r="30">
      <c r="A30" s="30" t="s">
        <v>73</v>
      </c>
      <c r="B30" s="30" t="s">
        <v>45</v>
      </c>
      <c r="C30" s="29">
        <v>31.0</v>
      </c>
      <c r="D30" s="29">
        <v>0.0</v>
      </c>
      <c r="E30" s="30">
        <v>31.0</v>
      </c>
      <c r="F30" s="30">
        <v>0.11</v>
      </c>
      <c r="G30" s="30">
        <v>0.0</v>
      </c>
      <c r="H30" s="31">
        <f t="shared" si="1"/>
        <v>0</v>
      </c>
      <c r="I30" s="31" t="str">
        <f t="shared" si="2"/>
        <v>Igual</v>
      </c>
      <c r="J30" s="31">
        <f t="shared" si="3"/>
        <v>0.11</v>
      </c>
      <c r="K30" s="31" t="str">
        <f t="shared" si="4"/>
        <v>Metaheurística</v>
      </c>
    </row>
    <row r="31">
      <c r="A31" s="30" t="s">
        <v>46</v>
      </c>
      <c r="B31" s="30" t="s">
        <v>45</v>
      </c>
      <c r="C31" s="29">
        <v>25.0</v>
      </c>
      <c r="D31" s="29">
        <v>0.0</v>
      </c>
      <c r="E31" s="30">
        <v>25.0</v>
      </c>
      <c r="F31" s="30">
        <v>0.06</v>
      </c>
      <c r="G31" s="30">
        <v>0.0</v>
      </c>
      <c r="H31" s="31">
        <f t="shared" si="1"/>
        <v>0</v>
      </c>
      <c r="I31" s="31" t="str">
        <f t="shared" si="2"/>
        <v>Igual</v>
      </c>
      <c r="J31" s="31">
        <f t="shared" si="3"/>
        <v>0.06</v>
      </c>
      <c r="K31" s="31" t="str">
        <f t="shared" si="4"/>
        <v>Metaheurística</v>
      </c>
    </row>
    <row r="32">
      <c r="A32" s="30" t="s">
        <v>103</v>
      </c>
      <c r="B32" s="30" t="s">
        <v>45</v>
      </c>
      <c r="C32" s="29">
        <v>25.0</v>
      </c>
      <c r="D32" s="29">
        <v>0.0</v>
      </c>
      <c r="E32" s="30">
        <v>26.0</v>
      </c>
      <c r="F32" s="30">
        <v>0.27</v>
      </c>
      <c r="G32" s="30">
        <v>0.0</v>
      </c>
      <c r="H32" s="31">
        <f t="shared" si="1"/>
        <v>1</v>
      </c>
      <c r="I32" s="31" t="str">
        <f t="shared" si="2"/>
        <v>Gurobi</v>
      </c>
      <c r="J32" s="31">
        <f t="shared" si="3"/>
        <v>0.27</v>
      </c>
      <c r="K32" s="31" t="str">
        <f t="shared" si="4"/>
        <v>Metaheurística</v>
      </c>
    </row>
    <row r="33">
      <c r="A33" s="30" t="s">
        <v>131</v>
      </c>
      <c r="B33" s="30" t="s">
        <v>45</v>
      </c>
      <c r="C33" s="29">
        <v>35.0</v>
      </c>
      <c r="D33" s="29">
        <v>0.0</v>
      </c>
      <c r="E33" s="30">
        <v>35.0</v>
      </c>
      <c r="F33" s="30">
        <v>0.2</v>
      </c>
      <c r="G33" s="30">
        <v>0.0</v>
      </c>
      <c r="H33" s="31">
        <f t="shared" si="1"/>
        <v>0</v>
      </c>
      <c r="I33" s="31" t="str">
        <f t="shared" si="2"/>
        <v>Igual</v>
      </c>
      <c r="J33" s="31">
        <f t="shared" si="3"/>
        <v>0.2</v>
      </c>
      <c r="K33" s="31" t="str">
        <f t="shared" si="4"/>
        <v>Metaheurística</v>
      </c>
    </row>
    <row r="34">
      <c r="A34" s="30" t="s">
        <v>115</v>
      </c>
      <c r="B34" s="30" t="s">
        <v>45</v>
      </c>
      <c r="C34" s="29">
        <v>34.0</v>
      </c>
      <c r="D34" s="29">
        <v>0.0</v>
      </c>
      <c r="E34" s="30">
        <v>34.0</v>
      </c>
      <c r="F34" s="30">
        <v>0.27</v>
      </c>
      <c r="G34" s="30">
        <v>0.0</v>
      </c>
      <c r="H34" s="31">
        <f t="shared" si="1"/>
        <v>0</v>
      </c>
      <c r="I34" s="31" t="str">
        <f t="shared" si="2"/>
        <v>Igual</v>
      </c>
      <c r="J34" s="31">
        <f t="shared" si="3"/>
        <v>0.27</v>
      </c>
      <c r="K34" s="31" t="str">
        <f t="shared" si="4"/>
        <v>Metaheurística</v>
      </c>
    </row>
    <row r="35">
      <c r="A35" s="30" t="s">
        <v>71</v>
      </c>
      <c r="B35" s="30" t="s">
        <v>45</v>
      </c>
      <c r="C35" s="29">
        <v>44.0</v>
      </c>
      <c r="D35" s="29">
        <v>0.0</v>
      </c>
      <c r="E35" s="30">
        <v>44.0</v>
      </c>
      <c r="F35" s="30">
        <v>0.9</v>
      </c>
      <c r="G35" s="30">
        <v>0.0</v>
      </c>
      <c r="H35" s="31">
        <f t="shared" si="1"/>
        <v>0</v>
      </c>
      <c r="I35" s="31" t="str">
        <f t="shared" si="2"/>
        <v>Igual</v>
      </c>
      <c r="J35" s="31">
        <f t="shared" si="3"/>
        <v>0.9</v>
      </c>
      <c r="K35" s="31" t="str">
        <f t="shared" si="4"/>
        <v>Metaheurística</v>
      </c>
    </row>
    <row r="36">
      <c r="A36" s="30" t="s">
        <v>87</v>
      </c>
      <c r="B36" s="30" t="s">
        <v>45</v>
      </c>
      <c r="C36" s="29">
        <v>41.0</v>
      </c>
      <c r="D36" s="29">
        <v>0.0</v>
      </c>
      <c r="E36" s="30">
        <v>41.0</v>
      </c>
      <c r="F36" s="30">
        <v>0.32</v>
      </c>
      <c r="G36" s="30">
        <v>0.0</v>
      </c>
      <c r="H36" s="31">
        <f t="shared" si="1"/>
        <v>0</v>
      </c>
      <c r="I36" s="31" t="str">
        <f t="shared" si="2"/>
        <v>Igual</v>
      </c>
      <c r="J36" s="31">
        <f t="shared" si="3"/>
        <v>0.32</v>
      </c>
      <c r="K36" s="31" t="str">
        <f t="shared" si="4"/>
        <v>Metaheurística</v>
      </c>
    </row>
    <row r="37">
      <c r="A37" s="30" t="s">
        <v>44</v>
      </c>
      <c r="B37" s="30" t="s">
        <v>45</v>
      </c>
      <c r="C37" s="29">
        <v>43.0</v>
      </c>
      <c r="D37" s="29">
        <v>0.0</v>
      </c>
      <c r="E37" s="30">
        <v>43.0</v>
      </c>
      <c r="F37" s="30">
        <v>0.65</v>
      </c>
      <c r="G37" s="30">
        <v>0.0</v>
      </c>
      <c r="H37" s="31">
        <f t="shared" si="1"/>
        <v>0</v>
      </c>
      <c r="I37" s="31" t="str">
        <f t="shared" si="2"/>
        <v>Igual</v>
      </c>
      <c r="J37" s="31">
        <f t="shared" si="3"/>
        <v>0.65</v>
      </c>
      <c r="K37" s="31" t="str">
        <f t="shared" si="4"/>
        <v>Metaheurística</v>
      </c>
    </row>
    <row r="38">
      <c r="A38" s="30" t="s">
        <v>134</v>
      </c>
      <c r="B38" s="30" t="s">
        <v>45</v>
      </c>
      <c r="C38" s="29">
        <v>45.0</v>
      </c>
      <c r="D38" s="29">
        <v>0.0</v>
      </c>
      <c r="E38" s="30">
        <v>45.0</v>
      </c>
      <c r="F38" s="30">
        <v>0.55</v>
      </c>
      <c r="G38" s="30">
        <v>0.0</v>
      </c>
      <c r="H38" s="31">
        <f t="shared" si="1"/>
        <v>0</v>
      </c>
      <c r="I38" s="31" t="str">
        <f t="shared" si="2"/>
        <v>Igual</v>
      </c>
      <c r="J38" s="31">
        <f t="shared" si="3"/>
        <v>0.55</v>
      </c>
      <c r="K38" s="31" t="str">
        <f t="shared" si="4"/>
        <v>Metaheurística</v>
      </c>
    </row>
    <row r="39">
      <c r="A39" s="30" t="s">
        <v>153</v>
      </c>
      <c r="B39" s="30" t="s">
        <v>45</v>
      </c>
      <c r="C39" s="29">
        <v>54.0</v>
      </c>
      <c r="D39" s="29">
        <v>0.0</v>
      </c>
      <c r="E39" s="30">
        <v>54.0</v>
      </c>
      <c r="F39" s="30">
        <v>7.47</v>
      </c>
      <c r="G39" s="30">
        <v>0.0</v>
      </c>
      <c r="H39" s="31">
        <f t="shared" si="1"/>
        <v>0</v>
      </c>
      <c r="I39" s="31" t="str">
        <f t="shared" si="2"/>
        <v>Igual</v>
      </c>
      <c r="J39" s="31">
        <f t="shared" si="3"/>
        <v>7.47</v>
      </c>
      <c r="K39" s="31" t="str">
        <f t="shared" si="4"/>
        <v>Metaheurística</v>
      </c>
    </row>
    <row r="40">
      <c r="A40" s="30" t="s">
        <v>51</v>
      </c>
      <c r="B40" s="30" t="s">
        <v>45</v>
      </c>
      <c r="C40" s="29">
        <v>59.0</v>
      </c>
      <c r="D40" s="29">
        <v>0.0</v>
      </c>
      <c r="E40" s="30">
        <v>59.0</v>
      </c>
      <c r="F40" s="30">
        <v>7.86</v>
      </c>
      <c r="G40" s="30">
        <v>0.0</v>
      </c>
      <c r="H40" s="31">
        <f t="shared" si="1"/>
        <v>0</v>
      </c>
      <c r="I40" s="31" t="str">
        <f t="shared" si="2"/>
        <v>Igual</v>
      </c>
      <c r="J40" s="31">
        <f t="shared" si="3"/>
        <v>7.86</v>
      </c>
      <c r="K40" s="31" t="str">
        <f t="shared" si="4"/>
        <v>Metaheurística</v>
      </c>
    </row>
    <row r="41">
      <c r="A41" s="30" t="s">
        <v>96</v>
      </c>
      <c r="B41" s="30" t="s">
        <v>45</v>
      </c>
      <c r="C41" s="29">
        <v>64.0</v>
      </c>
      <c r="D41" s="29">
        <v>0.0</v>
      </c>
      <c r="E41" s="30">
        <v>64.0</v>
      </c>
      <c r="F41" s="30">
        <v>6.17</v>
      </c>
      <c r="G41" s="30">
        <v>0.0</v>
      </c>
      <c r="H41" s="31">
        <f t="shared" si="1"/>
        <v>0</v>
      </c>
      <c r="I41" s="31" t="str">
        <f t="shared" si="2"/>
        <v>Igual</v>
      </c>
      <c r="J41" s="31">
        <f t="shared" si="3"/>
        <v>6.17</v>
      </c>
      <c r="K41" s="31" t="str">
        <f t="shared" si="4"/>
        <v>Metaheurística</v>
      </c>
    </row>
    <row r="42">
      <c r="A42" s="30" t="s">
        <v>106</v>
      </c>
      <c r="B42" s="30" t="s">
        <v>45</v>
      </c>
      <c r="C42" s="29">
        <v>62.0</v>
      </c>
      <c r="D42" s="29">
        <v>0.0</v>
      </c>
      <c r="E42" s="30">
        <v>62.0</v>
      </c>
      <c r="F42" s="30">
        <v>8.08</v>
      </c>
      <c r="G42" s="30">
        <v>0.0</v>
      </c>
      <c r="H42" s="31">
        <f t="shared" si="1"/>
        <v>0</v>
      </c>
      <c r="I42" s="31" t="str">
        <f t="shared" si="2"/>
        <v>Igual</v>
      </c>
      <c r="J42" s="31">
        <f t="shared" si="3"/>
        <v>8.08</v>
      </c>
      <c r="K42" s="31" t="str">
        <f t="shared" si="4"/>
        <v>Metaheurística</v>
      </c>
    </row>
    <row r="43">
      <c r="A43" s="30" t="s">
        <v>91</v>
      </c>
      <c r="B43" s="30" t="s">
        <v>45</v>
      </c>
      <c r="C43" s="29">
        <v>58.0</v>
      </c>
      <c r="D43" s="29">
        <v>0.0</v>
      </c>
      <c r="E43" s="30">
        <v>58.0</v>
      </c>
      <c r="F43" s="30">
        <v>11.14</v>
      </c>
      <c r="G43" s="30">
        <v>0.0</v>
      </c>
      <c r="H43" s="31">
        <f t="shared" si="1"/>
        <v>0</v>
      </c>
      <c r="I43" s="31" t="str">
        <f t="shared" si="2"/>
        <v>Igual</v>
      </c>
      <c r="J43" s="31">
        <f t="shared" si="3"/>
        <v>11.14</v>
      </c>
      <c r="K43" s="31" t="str">
        <f t="shared" si="4"/>
        <v>Metaheurística</v>
      </c>
    </row>
    <row r="44">
      <c r="A44" s="30" t="s">
        <v>66</v>
      </c>
      <c r="B44" s="30" t="s">
        <v>45</v>
      </c>
      <c r="C44" s="29">
        <v>88.0</v>
      </c>
      <c r="D44" s="29">
        <v>0.0</v>
      </c>
      <c r="E44" s="30">
        <v>88.0</v>
      </c>
      <c r="F44" s="30">
        <v>760.32</v>
      </c>
      <c r="G44" s="30">
        <v>0.0</v>
      </c>
      <c r="H44" s="31">
        <f t="shared" si="1"/>
        <v>0</v>
      </c>
      <c r="I44" s="31" t="str">
        <f t="shared" si="2"/>
        <v>Igual</v>
      </c>
      <c r="J44" s="31">
        <f t="shared" si="3"/>
        <v>760.32</v>
      </c>
      <c r="K44" s="31" t="str">
        <f t="shared" si="4"/>
        <v>Metaheurística</v>
      </c>
    </row>
    <row r="45">
      <c r="A45" s="30" t="s">
        <v>75</v>
      </c>
      <c r="B45" s="30" t="s">
        <v>45</v>
      </c>
      <c r="C45" s="29">
        <v>82.0</v>
      </c>
      <c r="D45" s="29">
        <v>0.0</v>
      </c>
      <c r="E45" s="30">
        <v>82.0</v>
      </c>
      <c r="F45" s="30">
        <v>2757.88</v>
      </c>
      <c r="G45" s="30">
        <v>0.0</v>
      </c>
      <c r="H45" s="31">
        <f t="shared" si="1"/>
        <v>0</v>
      </c>
      <c r="I45" s="31" t="str">
        <f t="shared" si="2"/>
        <v>Igual</v>
      </c>
      <c r="J45" s="31">
        <f t="shared" si="3"/>
        <v>2757.88</v>
      </c>
      <c r="K45" s="31" t="str">
        <f t="shared" si="4"/>
        <v>Metaheurística</v>
      </c>
    </row>
    <row r="46">
      <c r="A46" s="30" t="s">
        <v>58</v>
      </c>
      <c r="B46" s="30" t="s">
        <v>45</v>
      </c>
      <c r="C46" s="29">
        <v>91.0</v>
      </c>
      <c r="D46" s="29">
        <v>0.0</v>
      </c>
      <c r="E46" s="30">
        <v>91.0</v>
      </c>
      <c r="F46" s="30">
        <v>1987.99</v>
      </c>
      <c r="G46" s="30">
        <v>0.0</v>
      </c>
      <c r="H46" s="31">
        <f t="shared" si="1"/>
        <v>0</v>
      </c>
      <c r="I46" s="31" t="str">
        <f t="shared" si="2"/>
        <v>Igual</v>
      </c>
      <c r="J46" s="31">
        <f t="shared" si="3"/>
        <v>1987.99</v>
      </c>
      <c r="K46" s="31" t="str">
        <f t="shared" si="4"/>
        <v>Metaheurística</v>
      </c>
    </row>
    <row r="47">
      <c r="A47" s="30" t="s">
        <v>108</v>
      </c>
      <c r="B47" s="30" t="s">
        <v>45</v>
      </c>
      <c r="C47" s="29">
        <v>93.0</v>
      </c>
      <c r="D47" s="29">
        <v>0.0</v>
      </c>
      <c r="E47" s="30">
        <v>93.0</v>
      </c>
      <c r="F47" s="30">
        <v>3600.01</v>
      </c>
      <c r="G47" s="32">
        <v>6.4516</v>
      </c>
      <c r="H47" s="31">
        <f t="shared" si="1"/>
        <v>0</v>
      </c>
      <c r="I47" s="31" t="str">
        <f t="shared" si="2"/>
        <v>Igual</v>
      </c>
      <c r="J47" s="31">
        <f t="shared" si="3"/>
        <v>3600.01</v>
      </c>
      <c r="K47" s="31" t="str">
        <f t="shared" si="4"/>
        <v>Metaheurística</v>
      </c>
    </row>
    <row r="48">
      <c r="A48" s="30" t="s">
        <v>122</v>
      </c>
      <c r="B48" s="30" t="s">
        <v>45</v>
      </c>
      <c r="C48" s="29">
        <v>92.0</v>
      </c>
      <c r="D48" s="29">
        <v>0.0</v>
      </c>
      <c r="E48" s="30">
        <v>92.0</v>
      </c>
      <c r="F48" s="30">
        <v>33.44</v>
      </c>
      <c r="G48" s="30">
        <v>0.0</v>
      </c>
      <c r="H48" s="31">
        <f t="shared" si="1"/>
        <v>0</v>
      </c>
      <c r="I48" s="31" t="str">
        <f t="shared" si="2"/>
        <v>Igual</v>
      </c>
      <c r="J48" s="31">
        <f t="shared" si="3"/>
        <v>33.44</v>
      </c>
      <c r="K48" s="31" t="str">
        <f t="shared" si="4"/>
        <v>Metaheurística</v>
      </c>
    </row>
    <row r="49">
      <c r="A49" s="30" t="s">
        <v>88</v>
      </c>
      <c r="B49" s="30" t="s">
        <v>45</v>
      </c>
      <c r="C49" s="29">
        <v>114.0</v>
      </c>
      <c r="D49" s="29">
        <v>0.0</v>
      </c>
      <c r="E49" s="30">
        <v>115.0</v>
      </c>
      <c r="F49" s="30">
        <v>3600.01</v>
      </c>
      <c r="G49" s="32">
        <v>8.6957</v>
      </c>
      <c r="H49" s="31">
        <f t="shared" si="1"/>
        <v>1</v>
      </c>
      <c r="I49" s="31" t="str">
        <f t="shared" si="2"/>
        <v>Gurobi</v>
      </c>
      <c r="J49" s="31">
        <f t="shared" si="3"/>
        <v>3600.01</v>
      </c>
      <c r="K49" s="31" t="str">
        <f t="shared" si="4"/>
        <v>Metaheurística</v>
      </c>
    </row>
    <row r="50">
      <c r="A50" s="30" t="s">
        <v>135</v>
      </c>
      <c r="B50" s="30" t="s">
        <v>45</v>
      </c>
      <c r="C50" s="29">
        <v>123.0</v>
      </c>
      <c r="D50" s="29">
        <v>0.0</v>
      </c>
      <c r="E50" s="30">
        <v>124.0</v>
      </c>
      <c r="F50" s="30">
        <v>3600.01</v>
      </c>
      <c r="G50" s="32">
        <v>12.9032</v>
      </c>
      <c r="H50" s="31">
        <f t="shared" si="1"/>
        <v>1</v>
      </c>
      <c r="I50" s="31" t="str">
        <f t="shared" si="2"/>
        <v>Gurobi</v>
      </c>
      <c r="J50" s="31">
        <f t="shared" si="3"/>
        <v>3600.01</v>
      </c>
      <c r="K50" s="31" t="str">
        <f t="shared" si="4"/>
        <v>Metaheurística</v>
      </c>
    </row>
    <row r="51">
      <c r="A51" s="30" t="s">
        <v>54</v>
      </c>
      <c r="B51" s="30" t="s">
        <v>45</v>
      </c>
      <c r="C51" s="29">
        <v>122.0</v>
      </c>
      <c r="D51" s="29">
        <v>0.0</v>
      </c>
      <c r="E51" s="30">
        <v>122.0</v>
      </c>
      <c r="F51" s="30">
        <v>3600.01</v>
      </c>
      <c r="G51" s="32">
        <v>7.377</v>
      </c>
      <c r="H51" s="31">
        <f t="shared" si="1"/>
        <v>0</v>
      </c>
      <c r="I51" s="31" t="str">
        <f t="shared" si="2"/>
        <v>Igual</v>
      </c>
      <c r="J51" s="31">
        <f t="shared" si="3"/>
        <v>3600.01</v>
      </c>
      <c r="K51" s="31" t="str">
        <f t="shared" si="4"/>
        <v>Metaheurística</v>
      </c>
    </row>
    <row r="52">
      <c r="A52" s="30" t="s">
        <v>148</v>
      </c>
      <c r="B52" s="30" t="s">
        <v>45</v>
      </c>
      <c r="C52" s="29">
        <v>118.0</v>
      </c>
      <c r="D52" s="29">
        <v>0.0</v>
      </c>
      <c r="E52" s="30">
        <v>116.0</v>
      </c>
      <c r="F52" s="30">
        <v>3600.01</v>
      </c>
      <c r="G52" s="32">
        <v>28.4483</v>
      </c>
      <c r="H52" s="31">
        <f t="shared" si="1"/>
        <v>-2</v>
      </c>
      <c r="I52" s="31" t="str">
        <f t="shared" si="2"/>
        <v>Metaheurística</v>
      </c>
      <c r="J52" s="31">
        <f t="shared" si="3"/>
        <v>3600.01</v>
      </c>
      <c r="K52" s="31" t="str">
        <f t="shared" si="4"/>
        <v>Metaheurística</v>
      </c>
    </row>
    <row r="53">
      <c r="A53" s="30" t="s">
        <v>76</v>
      </c>
      <c r="B53" s="30" t="s">
        <v>45</v>
      </c>
      <c r="C53" s="29">
        <v>127.0</v>
      </c>
      <c r="D53" s="29">
        <v>0.0</v>
      </c>
      <c r="E53" s="30">
        <v>127.0</v>
      </c>
      <c r="F53" s="30">
        <v>3600.01</v>
      </c>
      <c r="G53" s="32">
        <v>6.2992</v>
      </c>
      <c r="H53" s="31">
        <f t="shared" si="1"/>
        <v>0</v>
      </c>
      <c r="I53" s="31" t="str">
        <f t="shared" si="2"/>
        <v>Igual</v>
      </c>
      <c r="J53" s="31">
        <f t="shared" si="3"/>
        <v>3600.01</v>
      </c>
      <c r="K53" s="31" t="str">
        <f t="shared" si="4"/>
        <v>Metaheurística</v>
      </c>
    </row>
    <row r="54">
      <c r="A54" s="30" t="s">
        <v>62</v>
      </c>
      <c r="B54" s="30" t="s">
        <v>45</v>
      </c>
      <c r="C54" s="29">
        <v>219.0</v>
      </c>
      <c r="D54" s="29">
        <v>0.0</v>
      </c>
      <c r="E54" s="30">
        <v>215.0</v>
      </c>
      <c r="F54" s="30">
        <v>3600.02</v>
      </c>
      <c r="G54" s="32">
        <v>29.7674</v>
      </c>
      <c r="H54" s="31">
        <f t="shared" si="1"/>
        <v>-4</v>
      </c>
      <c r="I54" s="31" t="str">
        <f t="shared" si="2"/>
        <v>Metaheurística</v>
      </c>
      <c r="J54" s="31">
        <f t="shared" si="3"/>
        <v>3600.02</v>
      </c>
      <c r="K54" s="31" t="str">
        <f t="shared" si="4"/>
        <v>Metaheurística</v>
      </c>
    </row>
    <row r="55">
      <c r="A55" s="30" t="s">
        <v>72</v>
      </c>
      <c r="B55" s="30" t="s">
        <v>45</v>
      </c>
      <c r="C55" s="29">
        <v>186.0</v>
      </c>
      <c r="D55" s="29">
        <v>0.0</v>
      </c>
      <c r="E55" s="30">
        <v>184.0</v>
      </c>
      <c r="F55" s="30">
        <v>3600.01</v>
      </c>
      <c r="G55" s="32">
        <v>27.7174</v>
      </c>
      <c r="H55" s="31">
        <f t="shared" si="1"/>
        <v>-2</v>
      </c>
      <c r="I55" s="31" t="str">
        <f t="shared" si="2"/>
        <v>Metaheurística</v>
      </c>
      <c r="J55" s="31">
        <f t="shared" si="3"/>
        <v>3600.01</v>
      </c>
      <c r="K55" s="31" t="str">
        <f t="shared" si="4"/>
        <v>Metaheurística</v>
      </c>
    </row>
    <row r="56">
      <c r="A56" s="30" t="s">
        <v>74</v>
      </c>
      <c r="B56" s="30" t="s">
        <v>45</v>
      </c>
      <c r="C56" s="29">
        <v>194.0</v>
      </c>
      <c r="D56" s="29">
        <v>0.0</v>
      </c>
      <c r="E56" s="30">
        <v>195.0</v>
      </c>
      <c r="F56" s="30">
        <v>3600.01</v>
      </c>
      <c r="G56" s="32">
        <v>29.7436</v>
      </c>
      <c r="H56" s="31">
        <f t="shared" si="1"/>
        <v>1</v>
      </c>
      <c r="I56" s="31" t="str">
        <f t="shared" si="2"/>
        <v>Gurobi</v>
      </c>
      <c r="J56" s="31">
        <f t="shared" si="3"/>
        <v>3600.01</v>
      </c>
      <c r="K56" s="31" t="str">
        <f t="shared" si="4"/>
        <v>Metaheurística</v>
      </c>
    </row>
    <row r="57">
      <c r="A57" s="30" t="s">
        <v>120</v>
      </c>
      <c r="B57" s="30" t="s">
        <v>45</v>
      </c>
      <c r="C57" s="29">
        <v>188.0</v>
      </c>
      <c r="D57" s="29">
        <v>0.0</v>
      </c>
      <c r="E57" s="30">
        <v>180.0</v>
      </c>
      <c r="F57" s="30">
        <v>3600.01</v>
      </c>
      <c r="G57" s="32">
        <v>38.8889</v>
      </c>
      <c r="H57" s="31">
        <f t="shared" si="1"/>
        <v>-8</v>
      </c>
      <c r="I57" s="31" t="str">
        <f t="shared" si="2"/>
        <v>Metaheurística</v>
      </c>
      <c r="J57" s="31">
        <f t="shared" si="3"/>
        <v>3600.01</v>
      </c>
      <c r="K57" s="31" t="str">
        <f t="shared" si="4"/>
        <v>Metaheurística</v>
      </c>
    </row>
    <row r="58">
      <c r="A58" s="30" t="s">
        <v>119</v>
      </c>
      <c r="B58" s="30" t="s">
        <v>45</v>
      </c>
      <c r="C58" s="29">
        <v>192.0</v>
      </c>
      <c r="D58" s="29">
        <v>0.0</v>
      </c>
      <c r="E58" s="30">
        <v>194.0</v>
      </c>
      <c r="F58" s="30">
        <v>3600.01</v>
      </c>
      <c r="G58" s="32">
        <v>31.9588</v>
      </c>
      <c r="H58" s="31">
        <f t="shared" si="1"/>
        <v>2</v>
      </c>
      <c r="I58" s="31" t="str">
        <f t="shared" si="2"/>
        <v>Gurobi</v>
      </c>
      <c r="J58" s="31">
        <f t="shared" si="3"/>
        <v>3600.01</v>
      </c>
      <c r="K58" s="31" t="str">
        <f t="shared" si="4"/>
        <v>Metaheurística</v>
      </c>
    </row>
    <row r="59">
      <c r="A59" s="30" t="s">
        <v>101</v>
      </c>
      <c r="B59" s="30" t="s">
        <v>45</v>
      </c>
      <c r="C59" s="29">
        <v>298.0</v>
      </c>
      <c r="D59" s="29">
        <v>0.0</v>
      </c>
      <c r="E59" s="30">
        <v>293.0</v>
      </c>
      <c r="F59" s="30">
        <v>3631.57</v>
      </c>
      <c r="G59" s="32">
        <v>43.0034</v>
      </c>
      <c r="H59" s="31">
        <f t="shared" si="1"/>
        <v>-5</v>
      </c>
      <c r="I59" s="31" t="str">
        <f t="shared" si="2"/>
        <v>Metaheurística</v>
      </c>
      <c r="J59" s="31">
        <f t="shared" si="3"/>
        <v>3631.57</v>
      </c>
      <c r="K59" s="31" t="str">
        <f t="shared" si="4"/>
        <v>Metaheurística</v>
      </c>
    </row>
    <row r="60">
      <c r="A60" s="30" t="s">
        <v>117</v>
      </c>
      <c r="B60" s="30" t="s">
        <v>45</v>
      </c>
      <c r="C60" s="29">
        <v>280.0</v>
      </c>
      <c r="D60" s="29">
        <v>0.0</v>
      </c>
      <c r="E60" s="30">
        <v>271.0</v>
      </c>
      <c r="F60" s="30">
        <v>3600.02</v>
      </c>
      <c r="G60" s="32">
        <v>38.3764</v>
      </c>
      <c r="H60" s="31">
        <f t="shared" si="1"/>
        <v>-9</v>
      </c>
      <c r="I60" s="31" t="str">
        <f t="shared" si="2"/>
        <v>Metaheurística</v>
      </c>
      <c r="J60" s="31">
        <f t="shared" si="3"/>
        <v>3600.02</v>
      </c>
      <c r="K60" s="31" t="str">
        <f t="shared" si="4"/>
        <v>Metaheurística</v>
      </c>
    </row>
    <row r="61">
      <c r="A61" s="30" t="s">
        <v>98</v>
      </c>
      <c r="B61" s="30" t="s">
        <v>45</v>
      </c>
      <c r="C61" s="29">
        <v>300.0</v>
      </c>
      <c r="D61" s="29">
        <v>0.0</v>
      </c>
      <c r="E61" s="30">
        <v>290.0</v>
      </c>
      <c r="F61" s="30">
        <v>3600.0</v>
      </c>
      <c r="G61" s="30">
        <v>40.0</v>
      </c>
      <c r="H61" s="31">
        <f t="shared" si="1"/>
        <v>-10</v>
      </c>
      <c r="I61" s="31" t="str">
        <f t="shared" si="2"/>
        <v>Metaheurística</v>
      </c>
      <c r="J61" s="31">
        <f t="shared" si="3"/>
        <v>3600</v>
      </c>
      <c r="K61" s="31" t="str">
        <f t="shared" si="4"/>
        <v>Metaheurística</v>
      </c>
    </row>
    <row r="62">
      <c r="A62" s="30" t="s">
        <v>143</v>
      </c>
      <c r="B62" s="30" t="s">
        <v>45</v>
      </c>
      <c r="C62" s="29">
        <v>273.0</v>
      </c>
      <c r="D62" s="29">
        <v>0.0</v>
      </c>
      <c r="E62" s="30">
        <v>276.0</v>
      </c>
      <c r="F62" s="30">
        <v>3651.2</v>
      </c>
      <c r="G62" s="32">
        <v>38.7681</v>
      </c>
      <c r="H62" s="31">
        <f t="shared" si="1"/>
        <v>3</v>
      </c>
      <c r="I62" s="31" t="str">
        <f t="shared" si="2"/>
        <v>Gurobi</v>
      </c>
      <c r="J62" s="31">
        <f t="shared" si="3"/>
        <v>3651.2</v>
      </c>
      <c r="K62" s="31" t="str">
        <f t="shared" si="4"/>
        <v>Metaheurística</v>
      </c>
    </row>
    <row r="63">
      <c r="A63" s="30" t="s">
        <v>92</v>
      </c>
      <c r="B63" s="30" t="s">
        <v>45</v>
      </c>
      <c r="C63" s="29">
        <v>304.0</v>
      </c>
      <c r="D63" s="29">
        <v>0.0</v>
      </c>
      <c r="E63" s="30">
        <v>290.0</v>
      </c>
      <c r="F63" s="30">
        <v>3600.0</v>
      </c>
      <c r="G63" s="32">
        <v>41.3793</v>
      </c>
      <c r="H63" s="31">
        <f t="shared" si="1"/>
        <v>-14</v>
      </c>
      <c r="I63" s="31" t="str">
        <f t="shared" si="2"/>
        <v>Metaheurística</v>
      </c>
      <c r="J63" s="31">
        <f t="shared" si="3"/>
        <v>3600</v>
      </c>
      <c r="K63" s="31" t="str">
        <f t="shared" si="4"/>
        <v>Metaheurística</v>
      </c>
    </row>
    <row r="64">
      <c r="A64" s="30" t="s">
        <v>97</v>
      </c>
      <c r="B64" s="30" t="s">
        <v>45</v>
      </c>
      <c r="C64" s="29">
        <v>384.0</v>
      </c>
      <c r="D64" s="29">
        <v>0.1</v>
      </c>
      <c r="E64" s="30">
        <v>367.0</v>
      </c>
      <c r="F64" s="30">
        <v>3600.11</v>
      </c>
      <c r="G64" s="32">
        <v>61.3079</v>
      </c>
      <c r="H64" s="31">
        <f t="shared" si="1"/>
        <v>-17</v>
      </c>
      <c r="I64" s="31" t="str">
        <f t="shared" si="2"/>
        <v>Metaheurística</v>
      </c>
      <c r="J64" s="31">
        <f t="shared" si="3"/>
        <v>3600.01</v>
      </c>
      <c r="K64" s="31" t="str">
        <f t="shared" si="4"/>
        <v>Metaheurística</v>
      </c>
    </row>
    <row r="65">
      <c r="A65" s="30" t="s">
        <v>121</v>
      </c>
      <c r="B65" s="30" t="s">
        <v>45</v>
      </c>
      <c r="C65" s="29">
        <v>383.0</v>
      </c>
      <c r="D65" s="29">
        <v>0.1</v>
      </c>
      <c r="E65" s="30">
        <v>372.0</v>
      </c>
      <c r="F65" s="30">
        <v>3614.45</v>
      </c>
      <c r="G65" s="32">
        <v>45.4301</v>
      </c>
      <c r="H65" s="31">
        <f t="shared" si="1"/>
        <v>-11</v>
      </c>
      <c r="I65" s="31" t="str">
        <f t="shared" si="2"/>
        <v>Metaheurística</v>
      </c>
      <c r="J65" s="31">
        <f t="shared" si="3"/>
        <v>3614.35</v>
      </c>
      <c r="K65" s="31" t="str">
        <f t="shared" si="4"/>
        <v>Metaheurística</v>
      </c>
    </row>
    <row r="66">
      <c r="A66" s="30" t="s">
        <v>116</v>
      </c>
      <c r="B66" s="30" t="s">
        <v>45</v>
      </c>
      <c r="C66" s="29">
        <v>377.0</v>
      </c>
      <c r="D66" s="29">
        <v>0.1</v>
      </c>
      <c r="E66" s="30">
        <v>366.0</v>
      </c>
      <c r="F66" s="30">
        <v>3603.83</v>
      </c>
      <c r="G66" s="32">
        <v>56.0109</v>
      </c>
      <c r="H66" s="31">
        <f t="shared" si="1"/>
        <v>-11</v>
      </c>
      <c r="I66" s="31" t="str">
        <f t="shared" si="2"/>
        <v>Metaheurística</v>
      </c>
      <c r="J66" s="31">
        <f t="shared" si="3"/>
        <v>3603.73</v>
      </c>
      <c r="K66" s="31" t="str">
        <f t="shared" si="4"/>
        <v>Metaheurística</v>
      </c>
    </row>
    <row r="67">
      <c r="A67" s="30" t="s">
        <v>102</v>
      </c>
      <c r="B67" s="30" t="s">
        <v>45</v>
      </c>
      <c r="C67" s="29">
        <v>356.0</v>
      </c>
      <c r="D67" s="29">
        <v>0.1</v>
      </c>
      <c r="E67" s="30">
        <v>348.0</v>
      </c>
      <c r="F67" s="30">
        <v>3600.11</v>
      </c>
      <c r="G67" s="32">
        <v>49.1379</v>
      </c>
      <c r="H67" s="31">
        <f t="shared" si="1"/>
        <v>-8</v>
      </c>
      <c r="I67" s="31" t="str">
        <f t="shared" si="2"/>
        <v>Metaheurística</v>
      </c>
      <c r="J67" s="31">
        <f t="shared" si="3"/>
        <v>3600.01</v>
      </c>
      <c r="K67" s="31" t="str">
        <f t="shared" si="4"/>
        <v>Metaheurística</v>
      </c>
    </row>
    <row r="68">
      <c r="A68" s="30" t="s">
        <v>147</v>
      </c>
      <c r="B68" s="30" t="s">
        <v>45</v>
      </c>
      <c r="C68" s="29">
        <v>379.0</v>
      </c>
      <c r="D68" s="29">
        <v>0.1</v>
      </c>
      <c r="E68" s="30">
        <v>374.0</v>
      </c>
      <c r="F68" s="30">
        <v>3600.1</v>
      </c>
      <c r="G68" s="32">
        <v>51.3369</v>
      </c>
      <c r="H68" s="31">
        <f t="shared" si="1"/>
        <v>-5</v>
      </c>
      <c r="I68" s="31" t="str">
        <f t="shared" si="2"/>
        <v>Metaheurística</v>
      </c>
      <c r="J68" s="31">
        <f t="shared" si="3"/>
        <v>3600</v>
      </c>
      <c r="K68" s="31" t="str">
        <f t="shared" si="4"/>
        <v>Metaheurística</v>
      </c>
    </row>
    <row r="69">
      <c r="A69" s="30" t="s">
        <v>146</v>
      </c>
      <c r="B69" s="30" t="s">
        <v>45</v>
      </c>
      <c r="C69" s="29">
        <v>465.0</v>
      </c>
      <c r="D69" s="29">
        <v>0.1</v>
      </c>
      <c r="E69" s="30">
        <v>415.0</v>
      </c>
      <c r="F69" s="30">
        <v>3600.14</v>
      </c>
      <c r="G69" s="32">
        <v>572.2892</v>
      </c>
      <c r="H69" s="31">
        <f t="shared" si="1"/>
        <v>-50</v>
      </c>
      <c r="I69" s="31" t="str">
        <f t="shared" si="2"/>
        <v>Metaheurística</v>
      </c>
      <c r="J69" s="31">
        <f t="shared" si="3"/>
        <v>3600.04</v>
      </c>
      <c r="K69" s="31" t="str">
        <f t="shared" si="4"/>
        <v>Metaheurística</v>
      </c>
    </row>
    <row r="70">
      <c r="A70" s="30" t="s">
        <v>89</v>
      </c>
      <c r="B70" s="30" t="s">
        <v>45</v>
      </c>
      <c r="C70" s="29">
        <v>467.0</v>
      </c>
      <c r="D70" s="29">
        <v>0.1</v>
      </c>
      <c r="E70" s="30">
        <v>410.0</v>
      </c>
      <c r="F70" s="30">
        <v>3600.22</v>
      </c>
      <c r="G70" s="32">
        <v>565.3659</v>
      </c>
      <c r="H70" s="31">
        <f t="shared" si="1"/>
        <v>-57</v>
      </c>
      <c r="I70" s="31" t="str">
        <f t="shared" si="2"/>
        <v>Metaheurística</v>
      </c>
      <c r="J70" s="31">
        <f t="shared" si="3"/>
        <v>3600.12</v>
      </c>
      <c r="K70" s="31" t="str">
        <f t="shared" si="4"/>
        <v>Metaheurística</v>
      </c>
    </row>
    <row r="71">
      <c r="A71" s="30" t="s">
        <v>47</v>
      </c>
      <c r="B71" s="30" t="s">
        <v>45</v>
      </c>
      <c r="C71" s="29">
        <v>471.0</v>
      </c>
      <c r="D71" s="29">
        <v>0.1</v>
      </c>
      <c r="E71" s="30">
        <v>417.0</v>
      </c>
      <c r="F71" s="30">
        <v>3600.13</v>
      </c>
      <c r="G71" s="32">
        <v>544.6043</v>
      </c>
      <c r="H71" s="31">
        <f t="shared" si="1"/>
        <v>-54</v>
      </c>
      <c r="I71" s="31" t="str">
        <f t="shared" si="2"/>
        <v>Metaheurística</v>
      </c>
      <c r="J71" s="31">
        <f t="shared" si="3"/>
        <v>3600.03</v>
      </c>
      <c r="K71" s="31" t="str">
        <f t="shared" si="4"/>
        <v>Metaheurística</v>
      </c>
    </row>
    <row r="72">
      <c r="A72" s="30" t="s">
        <v>137</v>
      </c>
      <c r="B72" s="30" t="s">
        <v>45</v>
      </c>
      <c r="C72" s="29">
        <v>467.0</v>
      </c>
      <c r="D72" s="29">
        <v>0.1</v>
      </c>
      <c r="E72" s="30">
        <v>444.0</v>
      </c>
      <c r="F72" s="30">
        <v>3600.22</v>
      </c>
      <c r="G72" s="32">
        <v>642.7928</v>
      </c>
      <c r="H72" s="31">
        <f t="shared" si="1"/>
        <v>-23</v>
      </c>
      <c r="I72" s="31" t="str">
        <f t="shared" si="2"/>
        <v>Metaheurística</v>
      </c>
      <c r="J72" s="31">
        <f t="shared" si="3"/>
        <v>3600.12</v>
      </c>
      <c r="K72" s="31" t="str">
        <f t="shared" si="4"/>
        <v>Metaheurística</v>
      </c>
    </row>
    <row r="73">
      <c r="A73" s="30" t="s">
        <v>136</v>
      </c>
      <c r="B73" s="30" t="s">
        <v>45</v>
      </c>
      <c r="C73" s="29">
        <v>421.0</v>
      </c>
      <c r="D73" s="29">
        <v>0.1</v>
      </c>
      <c r="E73" s="30">
        <v>390.0</v>
      </c>
      <c r="F73" s="30">
        <v>3600.19</v>
      </c>
      <c r="G73" s="32">
        <v>783.5897</v>
      </c>
      <c r="H73" s="31">
        <f t="shared" si="1"/>
        <v>-31</v>
      </c>
      <c r="I73" s="31" t="str">
        <f t="shared" si="2"/>
        <v>Metaheurística</v>
      </c>
      <c r="J73" s="31">
        <f t="shared" si="3"/>
        <v>3600.09</v>
      </c>
      <c r="K73" s="31" t="str">
        <f t="shared" si="4"/>
        <v>Metaheurística</v>
      </c>
    </row>
    <row r="74">
      <c r="A74" s="30" t="s">
        <v>128</v>
      </c>
      <c r="B74" s="30" t="s">
        <v>45</v>
      </c>
      <c r="C74" s="29">
        <v>661.0</v>
      </c>
      <c r="D74" s="29">
        <v>0.1</v>
      </c>
      <c r="E74" s="30">
        <v>593.0</v>
      </c>
      <c r="F74" s="30">
        <v>3600.08</v>
      </c>
      <c r="G74" s="32">
        <v>838.1113</v>
      </c>
      <c r="H74" s="31">
        <f t="shared" si="1"/>
        <v>-68</v>
      </c>
      <c r="I74" s="31" t="str">
        <f t="shared" si="2"/>
        <v>Metaheurística</v>
      </c>
      <c r="J74" s="31">
        <f t="shared" si="3"/>
        <v>3599.98</v>
      </c>
      <c r="K74" s="31" t="str">
        <f t="shared" si="4"/>
        <v>Metaheurística</v>
      </c>
    </row>
    <row r="75">
      <c r="A75" s="30" t="s">
        <v>68</v>
      </c>
      <c r="B75" s="30" t="s">
        <v>45</v>
      </c>
      <c r="C75" s="29">
        <v>614.0</v>
      </c>
      <c r="D75" s="29">
        <v>0.1</v>
      </c>
      <c r="E75" s="30">
        <v>598.0</v>
      </c>
      <c r="F75" s="30">
        <v>3600.14</v>
      </c>
      <c r="G75" s="32">
        <v>846.3211</v>
      </c>
      <c r="H75" s="31">
        <f t="shared" si="1"/>
        <v>-16</v>
      </c>
      <c r="I75" s="31" t="str">
        <f t="shared" si="2"/>
        <v>Metaheurística</v>
      </c>
      <c r="J75" s="31">
        <f t="shared" si="3"/>
        <v>3600.04</v>
      </c>
      <c r="K75" s="31" t="str">
        <f t="shared" si="4"/>
        <v>Metaheurística</v>
      </c>
    </row>
    <row r="76">
      <c r="A76" s="30" t="s">
        <v>112</v>
      </c>
      <c r="B76" s="30" t="s">
        <v>45</v>
      </c>
      <c r="C76" s="29">
        <v>648.0</v>
      </c>
      <c r="D76" s="29">
        <v>0.1</v>
      </c>
      <c r="E76" s="30">
        <v>629.0</v>
      </c>
      <c r="F76" s="30">
        <v>3600.1</v>
      </c>
      <c r="G76" s="32">
        <v>785.8506</v>
      </c>
      <c r="H76" s="31">
        <f t="shared" si="1"/>
        <v>-19</v>
      </c>
      <c r="I76" s="31" t="str">
        <f t="shared" si="2"/>
        <v>Metaheurística</v>
      </c>
      <c r="J76" s="31">
        <f t="shared" si="3"/>
        <v>3600</v>
      </c>
      <c r="K76" s="31" t="str">
        <f t="shared" si="4"/>
        <v>Metaheurística</v>
      </c>
    </row>
    <row r="77">
      <c r="A77" s="30" t="s">
        <v>145</v>
      </c>
      <c r="B77" s="30" t="s">
        <v>45</v>
      </c>
      <c r="C77" s="29">
        <v>665.0</v>
      </c>
      <c r="D77" s="29">
        <v>0.1</v>
      </c>
      <c r="E77" s="30">
        <v>583.0</v>
      </c>
      <c r="F77" s="30">
        <v>3600.06</v>
      </c>
      <c r="G77" s="32">
        <v>867.2384</v>
      </c>
      <c r="H77" s="31">
        <f t="shared" si="1"/>
        <v>-82</v>
      </c>
      <c r="I77" s="31" t="str">
        <f t="shared" si="2"/>
        <v>Metaheurística</v>
      </c>
      <c r="J77" s="31">
        <f t="shared" si="3"/>
        <v>3599.96</v>
      </c>
      <c r="K77" s="31" t="str">
        <f t="shared" si="4"/>
        <v>Metaheurística</v>
      </c>
    </row>
    <row r="78">
      <c r="A78" s="30" t="s">
        <v>56</v>
      </c>
      <c r="B78" s="30" t="s">
        <v>45</v>
      </c>
      <c r="C78" s="29">
        <v>583.0</v>
      </c>
      <c r="D78" s="29">
        <v>0.1</v>
      </c>
      <c r="E78" s="30">
        <v>541.0</v>
      </c>
      <c r="F78" s="30">
        <v>3600.08</v>
      </c>
      <c r="G78" s="32">
        <v>909.6118</v>
      </c>
      <c r="H78" s="31">
        <f t="shared" si="1"/>
        <v>-42</v>
      </c>
      <c r="I78" s="31" t="str">
        <f t="shared" si="2"/>
        <v>Metaheurística</v>
      </c>
      <c r="J78" s="31">
        <f t="shared" si="3"/>
        <v>3599.98</v>
      </c>
      <c r="K78" s="31" t="str">
        <f t="shared" si="4"/>
        <v>Metaheurística</v>
      </c>
    </row>
  </sheetData>
  <autoFilter ref="$A$1:$K$78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5.13"/>
    <col customWidth="1" min="3" max="3" width="27.38"/>
    <col customWidth="1" min="4" max="4" width="24.13"/>
    <col customWidth="1" min="5" max="5" width="21.63"/>
    <col customWidth="1" min="6" max="6" width="18.0"/>
    <col customWidth="1" min="7" max="7" width="16.5"/>
    <col customWidth="1" min="8" max="8" width="18.13"/>
    <col customWidth="1" min="9" max="9" width="22.13"/>
    <col customWidth="1" min="10" max="10" width="17.63"/>
    <col customWidth="1" min="11" max="11" width="21.5"/>
  </cols>
  <sheetData>
    <row r="1">
      <c r="A1" s="27" t="s">
        <v>38</v>
      </c>
      <c r="B1" s="27" t="s">
        <v>39</v>
      </c>
      <c r="C1" s="28" t="s">
        <v>174</v>
      </c>
      <c r="D1" s="28" t="s">
        <v>175</v>
      </c>
      <c r="E1" s="27" t="s">
        <v>176</v>
      </c>
      <c r="F1" s="27" t="s">
        <v>169</v>
      </c>
      <c r="G1" s="27" t="s">
        <v>168</v>
      </c>
      <c r="H1" s="29" t="s">
        <v>177</v>
      </c>
      <c r="I1" s="29" t="s">
        <v>179</v>
      </c>
      <c r="J1" s="29" t="s">
        <v>178</v>
      </c>
      <c r="K1" s="29" t="s">
        <v>180</v>
      </c>
      <c r="L1" s="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30" t="s">
        <v>93</v>
      </c>
      <c r="B2" s="30" t="s">
        <v>53</v>
      </c>
      <c r="C2" s="29">
        <v>185.0</v>
      </c>
      <c r="D2" s="29">
        <v>0.0</v>
      </c>
      <c r="E2" s="30">
        <v>185.0</v>
      </c>
      <c r="F2" s="30">
        <v>0.0</v>
      </c>
      <c r="G2" s="30">
        <v>0.0</v>
      </c>
      <c r="H2" s="31">
        <f t="shared" ref="H2:H78" si="1">E2-C2</f>
        <v>0</v>
      </c>
      <c r="I2" s="31" t="str">
        <f t="shared" ref="I2:I78" si="2">IF(H2=0,"Igual",IF(H2&gt;0,"Gurobi","Metaheurística"))</f>
        <v>Igual</v>
      </c>
      <c r="J2" s="31">
        <f t="shared" ref="J2:J78" si="3">F2-D2</f>
        <v>0</v>
      </c>
      <c r="K2" s="31" t="str">
        <f t="shared" ref="K2:K78" si="4">IF(J2=0,"Igual",IF(J2&lt;0,"Gurobi","Metaheurística"))</f>
        <v>Igual</v>
      </c>
    </row>
    <row r="3">
      <c r="A3" s="30" t="s">
        <v>36</v>
      </c>
      <c r="B3" s="30" t="s">
        <v>53</v>
      </c>
      <c r="C3" s="29">
        <v>159.0</v>
      </c>
      <c r="D3" s="29">
        <v>0.0</v>
      </c>
      <c r="E3" s="30">
        <v>159.0</v>
      </c>
      <c r="F3" s="30">
        <v>0.01</v>
      </c>
      <c r="G3" s="30">
        <v>0.0</v>
      </c>
      <c r="H3" s="31">
        <f t="shared" si="1"/>
        <v>0</v>
      </c>
      <c r="I3" s="31" t="str">
        <f t="shared" si="2"/>
        <v>Igual</v>
      </c>
      <c r="J3" s="31">
        <f t="shared" si="3"/>
        <v>0.01</v>
      </c>
      <c r="K3" s="31" t="str">
        <f t="shared" si="4"/>
        <v>Metaheurística</v>
      </c>
    </row>
    <row r="4">
      <c r="A4" s="30" t="s">
        <v>55</v>
      </c>
      <c r="B4" s="30" t="s">
        <v>53</v>
      </c>
      <c r="C4" s="29">
        <v>378.0</v>
      </c>
      <c r="D4" s="29">
        <v>0.0</v>
      </c>
      <c r="E4" s="30">
        <v>378.0</v>
      </c>
      <c r="F4" s="30">
        <v>0.07</v>
      </c>
      <c r="G4" s="30">
        <v>0.0</v>
      </c>
      <c r="H4" s="31">
        <f t="shared" si="1"/>
        <v>0</v>
      </c>
      <c r="I4" s="31" t="str">
        <f t="shared" si="2"/>
        <v>Igual</v>
      </c>
      <c r="J4" s="31">
        <f t="shared" si="3"/>
        <v>0.07</v>
      </c>
      <c r="K4" s="31" t="str">
        <f t="shared" si="4"/>
        <v>Metaheurística</v>
      </c>
    </row>
    <row r="5">
      <c r="A5" s="30" t="s">
        <v>141</v>
      </c>
      <c r="B5" s="30" t="s">
        <v>53</v>
      </c>
      <c r="C5" s="29">
        <v>247.0</v>
      </c>
      <c r="D5" s="29">
        <v>0.0</v>
      </c>
      <c r="E5" s="30">
        <v>247.0</v>
      </c>
      <c r="F5" s="30">
        <v>0.12</v>
      </c>
      <c r="G5" s="30">
        <v>0.0</v>
      </c>
      <c r="H5" s="31">
        <f t="shared" si="1"/>
        <v>0</v>
      </c>
      <c r="I5" s="31" t="str">
        <f t="shared" si="2"/>
        <v>Igual</v>
      </c>
      <c r="J5" s="31">
        <f t="shared" si="3"/>
        <v>0.12</v>
      </c>
      <c r="K5" s="31" t="str">
        <f t="shared" si="4"/>
        <v>Metaheurística</v>
      </c>
    </row>
    <row r="6">
      <c r="A6" s="30" t="s">
        <v>109</v>
      </c>
      <c r="B6" s="30" t="s">
        <v>53</v>
      </c>
      <c r="C6" s="29">
        <v>419.0</v>
      </c>
      <c r="D6" s="29">
        <v>0.0</v>
      </c>
      <c r="E6" s="30">
        <v>419.0</v>
      </c>
      <c r="F6" s="30">
        <v>0.26</v>
      </c>
      <c r="G6" s="30">
        <v>0.0</v>
      </c>
      <c r="H6" s="31">
        <f t="shared" si="1"/>
        <v>0</v>
      </c>
      <c r="I6" s="31" t="str">
        <f t="shared" si="2"/>
        <v>Igual</v>
      </c>
      <c r="J6" s="31">
        <f t="shared" si="3"/>
        <v>0.26</v>
      </c>
      <c r="K6" s="31" t="str">
        <f t="shared" si="4"/>
        <v>Metaheurística</v>
      </c>
    </row>
    <row r="7">
      <c r="A7" s="30" t="s">
        <v>85</v>
      </c>
      <c r="B7" s="30" t="s">
        <v>53</v>
      </c>
      <c r="C7" s="29">
        <v>363.0</v>
      </c>
      <c r="D7" s="29">
        <v>0.0</v>
      </c>
      <c r="E7" s="30">
        <v>363.0</v>
      </c>
      <c r="F7" s="30">
        <v>0.28</v>
      </c>
      <c r="G7" s="30">
        <v>0.0</v>
      </c>
      <c r="H7" s="31">
        <f t="shared" si="1"/>
        <v>0</v>
      </c>
      <c r="I7" s="31" t="str">
        <f t="shared" si="2"/>
        <v>Igual</v>
      </c>
      <c r="J7" s="31">
        <f t="shared" si="3"/>
        <v>0.28</v>
      </c>
      <c r="K7" s="31" t="str">
        <f t="shared" si="4"/>
        <v>Metaheurística</v>
      </c>
    </row>
    <row r="8">
      <c r="A8" s="30" t="s">
        <v>105</v>
      </c>
      <c r="B8" s="30" t="s">
        <v>53</v>
      </c>
      <c r="C8" s="29">
        <v>467.0</v>
      </c>
      <c r="D8" s="29">
        <v>0.0</v>
      </c>
      <c r="E8" s="30">
        <v>467.0</v>
      </c>
      <c r="F8" s="30">
        <v>1.09</v>
      </c>
      <c r="G8" s="30">
        <v>0.0</v>
      </c>
      <c r="H8" s="31">
        <f t="shared" si="1"/>
        <v>0</v>
      </c>
      <c r="I8" s="31" t="str">
        <f t="shared" si="2"/>
        <v>Igual</v>
      </c>
      <c r="J8" s="31">
        <f t="shared" si="3"/>
        <v>1.09</v>
      </c>
      <c r="K8" s="31" t="str">
        <f t="shared" si="4"/>
        <v>Metaheurística</v>
      </c>
    </row>
    <row r="9">
      <c r="A9" s="30" t="s">
        <v>126</v>
      </c>
      <c r="B9" s="30" t="s">
        <v>53</v>
      </c>
      <c r="C9" s="29">
        <v>513.0</v>
      </c>
      <c r="D9" s="29">
        <v>0.0</v>
      </c>
      <c r="E9" s="30">
        <v>513.0</v>
      </c>
      <c r="F9" s="30">
        <v>1483.41</v>
      </c>
      <c r="G9" s="30">
        <v>0.0</v>
      </c>
      <c r="H9" s="31">
        <f t="shared" si="1"/>
        <v>0</v>
      </c>
      <c r="I9" s="31" t="str">
        <f t="shared" si="2"/>
        <v>Igual</v>
      </c>
      <c r="J9" s="31">
        <f t="shared" si="3"/>
        <v>1483.41</v>
      </c>
      <c r="K9" s="31" t="str">
        <f t="shared" si="4"/>
        <v>Metaheurística</v>
      </c>
    </row>
    <row r="10">
      <c r="A10" s="30" t="s">
        <v>65</v>
      </c>
      <c r="B10" s="30" t="s">
        <v>53</v>
      </c>
      <c r="C10" s="29">
        <v>757.0</v>
      </c>
      <c r="D10" s="29">
        <v>0.0</v>
      </c>
      <c r="E10" s="30">
        <v>757.0</v>
      </c>
      <c r="F10" s="30">
        <v>779.79</v>
      </c>
      <c r="G10" s="30">
        <v>0.0</v>
      </c>
      <c r="H10" s="31">
        <f t="shared" si="1"/>
        <v>0</v>
      </c>
      <c r="I10" s="31" t="str">
        <f t="shared" si="2"/>
        <v>Igual</v>
      </c>
      <c r="J10" s="31">
        <f t="shared" si="3"/>
        <v>779.79</v>
      </c>
      <c r="K10" s="31" t="str">
        <f t="shared" si="4"/>
        <v>Metaheurística</v>
      </c>
    </row>
    <row r="11">
      <c r="A11" s="30" t="s">
        <v>114</v>
      </c>
      <c r="B11" s="30" t="s">
        <v>53</v>
      </c>
      <c r="C11" s="29">
        <v>881.0</v>
      </c>
      <c r="D11" s="29">
        <v>0.0</v>
      </c>
      <c r="E11" s="30">
        <v>881.0</v>
      </c>
      <c r="F11" s="30">
        <v>3600.02</v>
      </c>
      <c r="G11" s="32">
        <v>4.3133</v>
      </c>
      <c r="H11" s="31">
        <f t="shared" si="1"/>
        <v>0</v>
      </c>
      <c r="I11" s="31" t="str">
        <f t="shared" si="2"/>
        <v>Igual</v>
      </c>
      <c r="J11" s="31">
        <f t="shared" si="3"/>
        <v>3600.02</v>
      </c>
      <c r="K11" s="31" t="str">
        <f t="shared" si="4"/>
        <v>Metaheurística</v>
      </c>
    </row>
    <row r="12">
      <c r="A12" s="30" t="s">
        <v>69</v>
      </c>
      <c r="B12" s="30" t="s">
        <v>53</v>
      </c>
      <c r="C12" s="29">
        <v>1076.0</v>
      </c>
      <c r="D12" s="29">
        <v>0.0</v>
      </c>
      <c r="E12" s="30">
        <v>1105.0</v>
      </c>
      <c r="F12" s="30">
        <v>3600.02</v>
      </c>
      <c r="G12" s="32">
        <v>9.8643</v>
      </c>
      <c r="H12" s="31">
        <f t="shared" si="1"/>
        <v>29</v>
      </c>
      <c r="I12" s="31" t="str">
        <f t="shared" si="2"/>
        <v>Gurobi</v>
      </c>
      <c r="J12" s="31">
        <f t="shared" si="3"/>
        <v>3600.02</v>
      </c>
      <c r="K12" s="31" t="str">
        <f t="shared" si="4"/>
        <v>Metaheurística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30" t="s">
        <v>150</v>
      </c>
      <c r="B13" s="30" t="s">
        <v>53</v>
      </c>
      <c r="C13" s="29">
        <v>1297.0</v>
      </c>
      <c r="D13" s="29">
        <v>0.0</v>
      </c>
      <c r="E13" s="30">
        <v>1302.0</v>
      </c>
      <c r="F13" s="30">
        <v>3600.0</v>
      </c>
      <c r="G13" s="32">
        <v>9.1398</v>
      </c>
      <c r="H13" s="31">
        <f t="shared" si="1"/>
        <v>5</v>
      </c>
      <c r="I13" s="31" t="str">
        <f t="shared" si="2"/>
        <v>Gurobi</v>
      </c>
      <c r="J13" s="31">
        <f t="shared" si="3"/>
        <v>3600</v>
      </c>
      <c r="K13" s="31" t="str">
        <f t="shared" si="4"/>
        <v>Metaheurística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30" t="s">
        <v>123</v>
      </c>
      <c r="B14" s="30" t="s">
        <v>53</v>
      </c>
      <c r="C14" s="29">
        <v>1289.0</v>
      </c>
      <c r="D14" s="29">
        <v>0.1</v>
      </c>
      <c r="E14" s="30">
        <v>1327.0</v>
      </c>
      <c r="F14" s="30">
        <v>3600.02</v>
      </c>
      <c r="G14" s="32">
        <v>12.8109</v>
      </c>
      <c r="H14" s="31">
        <f t="shared" si="1"/>
        <v>38</v>
      </c>
      <c r="I14" s="31" t="str">
        <f t="shared" si="2"/>
        <v>Gurobi</v>
      </c>
      <c r="J14" s="31">
        <f t="shared" si="3"/>
        <v>3599.92</v>
      </c>
      <c r="K14" s="31" t="str">
        <f t="shared" si="4"/>
        <v>Metaheurística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30" t="s">
        <v>61</v>
      </c>
      <c r="B15" s="30" t="s">
        <v>53</v>
      </c>
      <c r="C15" s="29">
        <v>1183.0</v>
      </c>
      <c r="D15" s="29">
        <v>0.1</v>
      </c>
      <c r="E15" s="30">
        <v>1189.0</v>
      </c>
      <c r="F15" s="30">
        <v>3611.01</v>
      </c>
      <c r="G15" s="32">
        <v>20.6897</v>
      </c>
      <c r="H15" s="31">
        <f t="shared" si="1"/>
        <v>6</v>
      </c>
      <c r="I15" s="31" t="str">
        <f t="shared" si="2"/>
        <v>Gurobi</v>
      </c>
      <c r="J15" s="31">
        <f t="shared" si="3"/>
        <v>3610.91</v>
      </c>
      <c r="K15" s="31" t="str">
        <f t="shared" si="4"/>
        <v>Metaheurística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30" t="s">
        <v>100</v>
      </c>
      <c r="B16" s="30" t="s">
        <v>53</v>
      </c>
      <c r="C16" s="29">
        <v>1466.0</v>
      </c>
      <c r="D16" s="29">
        <v>0.1</v>
      </c>
      <c r="E16" s="30">
        <v>1611.0</v>
      </c>
      <c r="F16" s="30">
        <v>3600.04</v>
      </c>
      <c r="G16" s="32">
        <v>15.7666</v>
      </c>
      <c r="H16" s="31">
        <f t="shared" si="1"/>
        <v>145</v>
      </c>
      <c r="I16" s="31" t="str">
        <f t="shared" si="2"/>
        <v>Gurobi</v>
      </c>
      <c r="J16" s="31">
        <f t="shared" si="3"/>
        <v>3599.94</v>
      </c>
      <c r="K16" s="31" t="str">
        <f t="shared" si="4"/>
        <v>Metaheurística</v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30" t="s">
        <v>94</v>
      </c>
      <c r="B17" s="30" t="s">
        <v>53</v>
      </c>
      <c r="C17" s="29">
        <v>1661.0</v>
      </c>
      <c r="D17" s="29">
        <v>0.3</v>
      </c>
      <c r="E17" s="30">
        <v>1524.0</v>
      </c>
      <c r="F17" s="30">
        <v>3600.2</v>
      </c>
      <c r="G17" s="32">
        <v>468.1102</v>
      </c>
      <c r="H17" s="31">
        <f t="shared" si="1"/>
        <v>-137</v>
      </c>
      <c r="I17" s="31" t="str">
        <f t="shared" si="2"/>
        <v>Metaheurística</v>
      </c>
      <c r="J17" s="31">
        <f t="shared" si="3"/>
        <v>3599.9</v>
      </c>
      <c r="K17" s="31" t="str">
        <f t="shared" si="4"/>
        <v>Metaheurística</v>
      </c>
    </row>
    <row r="18">
      <c r="A18" s="29" t="s">
        <v>132</v>
      </c>
      <c r="B18" s="29" t="s">
        <v>53</v>
      </c>
      <c r="C18" s="29">
        <v>2130.0</v>
      </c>
      <c r="D18" s="29">
        <v>0.6</v>
      </c>
      <c r="E18" s="30">
        <v>1711.0</v>
      </c>
      <c r="F18" s="30">
        <v>3600.05</v>
      </c>
      <c r="G18" s="32">
        <v>493.2526</v>
      </c>
      <c r="H18" s="31">
        <f t="shared" si="1"/>
        <v>-419</v>
      </c>
      <c r="I18" s="31" t="str">
        <f t="shared" si="2"/>
        <v>Metaheurística</v>
      </c>
      <c r="J18" s="31">
        <f t="shared" si="3"/>
        <v>3599.45</v>
      </c>
      <c r="K18" s="31" t="str">
        <f t="shared" si="4"/>
        <v>Metaheurística</v>
      </c>
    </row>
    <row r="19">
      <c r="A19" s="30" t="s">
        <v>125</v>
      </c>
      <c r="B19" s="30" t="s">
        <v>45</v>
      </c>
      <c r="C19" s="29">
        <v>13.0</v>
      </c>
      <c r="D19" s="29">
        <v>0.0</v>
      </c>
      <c r="E19" s="30">
        <v>13.0</v>
      </c>
      <c r="F19" s="30">
        <v>0.01</v>
      </c>
      <c r="G19" s="30">
        <v>0.0</v>
      </c>
      <c r="H19" s="31">
        <f t="shared" si="1"/>
        <v>0</v>
      </c>
      <c r="I19" s="31" t="str">
        <f t="shared" si="2"/>
        <v>Igual</v>
      </c>
      <c r="J19" s="31">
        <f t="shared" si="3"/>
        <v>0.01</v>
      </c>
      <c r="K19" s="31" t="str">
        <f t="shared" si="4"/>
        <v>Metaheurística</v>
      </c>
    </row>
    <row r="20">
      <c r="A20" s="30" t="s">
        <v>111</v>
      </c>
      <c r="B20" s="30" t="s">
        <v>45</v>
      </c>
      <c r="C20" s="29">
        <v>12.0</v>
      </c>
      <c r="D20" s="29">
        <v>0.0</v>
      </c>
      <c r="E20" s="30">
        <v>12.0</v>
      </c>
      <c r="F20" s="30">
        <v>0.0</v>
      </c>
      <c r="G20" s="30">
        <v>0.0</v>
      </c>
      <c r="H20" s="31">
        <f t="shared" si="1"/>
        <v>0</v>
      </c>
      <c r="I20" s="31" t="str">
        <f t="shared" si="2"/>
        <v>Igual</v>
      </c>
      <c r="J20" s="31">
        <f t="shared" si="3"/>
        <v>0</v>
      </c>
      <c r="K20" s="31" t="str">
        <f t="shared" si="4"/>
        <v>Igual</v>
      </c>
    </row>
    <row r="21">
      <c r="A21" s="30" t="s">
        <v>133</v>
      </c>
      <c r="B21" s="30" t="s">
        <v>45</v>
      </c>
      <c r="C21" s="29">
        <v>13.0</v>
      </c>
      <c r="D21" s="29">
        <v>0.0</v>
      </c>
      <c r="E21" s="30">
        <v>13.0</v>
      </c>
      <c r="F21" s="30">
        <v>0.0</v>
      </c>
      <c r="G21" s="30">
        <v>0.0</v>
      </c>
      <c r="H21" s="31">
        <f t="shared" si="1"/>
        <v>0</v>
      </c>
      <c r="I21" s="31" t="str">
        <f t="shared" si="2"/>
        <v>Igual</v>
      </c>
      <c r="J21" s="31">
        <f t="shared" si="3"/>
        <v>0</v>
      </c>
      <c r="K21" s="31" t="str">
        <f t="shared" si="4"/>
        <v>Igual</v>
      </c>
    </row>
    <row r="22">
      <c r="A22" s="30" t="s">
        <v>124</v>
      </c>
      <c r="B22" s="30" t="s">
        <v>45</v>
      </c>
      <c r="C22" s="29">
        <v>13.0</v>
      </c>
      <c r="D22" s="29">
        <v>0.0</v>
      </c>
      <c r="E22" s="30">
        <v>13.0</v>
      </c>
      <c r="F22" s="30">
        <v>0.01</v>
      </c>
      <c r="G22" s="30">
        <v>0.0</v>
      </c>
      <c r="H22" s="31">
        <f t="shared" si="1"/>
        <v>0</v>
      </c>
      <c r="I22" s="31" t="str">
        <f t="shared" si="2"/>
        <v>Igual</v>
      </c>
      <c r="J22" s="31">
        <f t="shared" si="3"/>
        <v>0.01</v>
      </c>
      <c r="K22" s="31" t="str">
        <f t="shared" si="4"/>
        <v>Metaheurística</v>
      </c>
    </row>
    <row r="23">
      <c r="A23" s="30" t="s">
        <v>49</v>
      </c>
      <c r="B23" s="30" t="s">
        <v>45</v>
      </c>
      <c r="C23" s="29">
        <v>20.0</v>
      </c>
      <c r="D23" s="29">
        <v>0.0</v>
      </c>
      <c r="E23" s="30">
        <v>20.0</v>
      </c>
      <c r="F23" s="30">
        <v>0.01</v>
      </c>
      <c r="G23" s="30">
        <v>0.0</v>
      </c>
      <c r="H23" s="31">
        <f t="shared" si="1"/>
        <v>0</v>
      </c>
      <c r="I23" s="31" t="str">
        <f t="shared" si="2"/>
        <v>Igual</v>
      </c>
      <c r="J23" s="31">
        <f t="shared" si="3"/>
        <v>0.01</v>
      </c>
      <c r="K23" s="31" t="str">
        <f t="shared" si="4"/>
        <v>Metaheurística</v>
      </c>
    </row>
    <row r="24">
      <c r="A24" s="30" t="s">
        <v>130</v>
      </c>
      <c r="B24" s="30" t="s">
        <v>45</v>
      </c>
      <c r="C24" s="29">
        <v>20.0</v>
      </c>
      <c r="D24" s="29">
        <v>0.0</v>
      </c>
      <c r="E24" s="30">
        <v>20.0</v>
      </c>
      <c r="F24" s="30">
        <v>0.01</v>
      </c>
      <c r="G24" s="30">
        <v>0.0</v>
      </c>
      <c r="H24" s="31">
        <f t="shared" si="1"/>
        <v>0</v>
      </c>
      <c r="I24" s="31" t="str">
        <f t="shared" si="2"/>
        <v>Igual</v>
      </c>
      <c r="J24" s="31">
        <f t="shared" si="3"/>
        <v>0.01</v>
      </c>
      <c r="K24" s="31" t="str">
        <f t="shared" si="4"/>
        <v>Metaheurística</v>
      </c>
    </row>
    <row r="25">
      <c r="A25" s="30" t="s">
        <v>140</v>
      </c>
      <c r="B25" s="30" t="s">
        <v>45</v>
      </c>
      <c r="C25" s="29">
        <v>18.0</v>
      </c>
      <c r="D25" s="29">
        <v>0.0</v>
      </c>
      <c r="E25" s="30">
        <v>18.0</v>
      </c>
      <c r="F25" s="30">
        <v>0.07</v>
      </c>
      <c r="G25" s="30">
        <v>0.0</v>
      </c>
      <c r="H25" s="31">
        <f t="shared" si="1"/>
        <v>0</v>
      </c>
      <c r="I25" s="31" t="str">
        <f t="shared" si="2"/>
        <v>Igual</v>
      </c>
      <c r="J25" s="31">
        <f t="shared" si="3"/>
        <v>0.07</v>
      </c>
      <c r="K25" s="31" t="str">
        <f t="shared" si="4"/>
        <v>Metaheurística</v>
      </c>
    </row>
    <row r="26">
      <c r="A26" s="30" t="s">
        <v>60</v>
      </c>
      <c r="B26" s="30" t="s">
        <v>45</v>
      </c>
      <c r="C26" s="29">
        <v>19.0</v>
      </c>
      <c r="D26" s="29">
        <v>0.0</v>
      </c>
      <c r="E26" s="30">
        <v>19.0</v>
      </c>
      <c r="F26" s="30">
        <v>0.01</v>
      </c>
      <c r="G26" s="30">
        <v>0.0</v>
      </c>
      <c r="H26" s="31">
        <f t="shared" si="1"/>
        <v>0</v>
      </c>
      <c r="I26" s="31" t="str">
        <f t="shared" si="2"/>
        <v>Igual</v>
      </c>
      <c r="J26" s="31">
        <f t="shared" si="3"/>
        <v>0.01</v>
      </c>
      <c r="K26" s="31" t="str">
        <f t="shared" si="4"/>
        <v>Metaheurística</v>
      </c>
    </row>
    <row r="27">
      <c r="A27" s="30" t="s">
        <v>59</v>
      </c>
      <c r="B27" s="30" t="s">
        <v>45</v>
      </c>
      <c r="C27" s="29">
        <v>23.0</v>
      </c>
      <c r="D27" s="29">
        <v>0.0</v>
      </c>
      <c r="E27" s="30">
        <v>23.0</v>
      </c>
      <c r="F27" s="30">
        <v>0.02</v>
      </c>
      <c r="G27" s="30">
        <v>0.0</v>
      </c>
      <c r="H27" s="31">
        <f t="shared" si="1"/>
        <v>0</v>
      </c>
      <c r="I27" s="31" t="str">
        <f t="shared" si="2"/>
        <v>Igual</v>
      </c>
      <c r="J27" s="31">
        <f t="shared" si="3"/>
        <v>0.02</v>
      </c>
      <c r="K27" s="31" t="str">
        <f t="shared" si="4"/>
        <v>Metaheurística</v>
      </c>
    </row>
    <row r="28">
      <c r="A28" s="30" t="s">
        <v>50</v>
      </c>
      <c r="B28" s="30" t="s">
        <v>45</v>
      </c>
      <c r="C28" s="29">
        <v>22.0</v>
      </c>
      <c r="D28" s="29">
        <v>0.0</v>
      </c>
      <c r="E28" s="30">
        <v>22.0</v>
      </c>
      <c r="F28" s="30">
        <v>0.01</v>
      </c>
      <c r="G28" s="30">
        <v>0.0</v>
      </c>
      <c r="H28" s="31">
        <f t="shared" si="1"/>
        <v>0</v>
      </c>
      <c r="I28" s="31" t="str">
        <f t="shared" si="2"/>
        <v>Igual</v>
      </c>
      <c r="J28" s="31">
        <f t="shared" si="3"/>
        <v>0.01</v>
      </c>
      <c r="K28" s="31" t="str">
        <f t="shared" si="4"/>
        <v>Metaheurística</v>
      </c>
    </row>
    <row r="29">
      <c r="A29" s="30" t="s">
        <v>95</v>
      </c>
      <c r="B29" s="30" t="s">
        <v>45</v>
      </c>
      <c r="C29" s="29">
        <v>34.0</v>
      </c>
      <c r="D29" s="29">
        <v>0.0</v>
      </c>
      <c r="E29" s="30">
        <v>34.0</v>
      </c>
      <c r="F29" s="30">
        <v>0.14</v>
      </c>
      <c r="G29" s="30">
        <v>0.0</v>
      </c>
      <c r="H29" s="31">
        <f t="shared" si="1"/>
        <v>0</v>
      </c>
      <c r="I29" s="31" t="str">
        <f t="shared" si="2"/>
        <v>Igual</v>
      </c>
      <c r="J29" s="31">
        <f t="shared" si="3"/>
        <v>0.14</v>
      </c>
      <c r="K29" s="31" t="str">
        <f t="shared" si="4"/>
        <v>Metaheurística</v>
      </c>
    </row>
    <row r="30">
      <c r="A30" s="30" t="s">
        <v>73</v>
      </c>
      <c r="B30" s="30" t="s">
        <v>45</v>
      </c>
      <c r="C30" s="29">
        <v>31.0</v>
      </c>
      <c r="D30" s="29">
        <v>0.0</v>
      </c>
      <c r="E30" s="30">
        <v>31.0</v>
      </c>
      <c r="F30" s="30">
        <v>0.11</v>
      </c>
      <c r="G30" s="30">
        <v>0.0</v>
      </c>
      <c r="H30" s="31">
        <f t="shared" si="1"/>
        <v>0</v>
      </c>
      <c r="I30" s="31" t="str">
        <f t="shared" si="2"/>
        <v>Igual</v>
      </c>
      <c r="J30" s="31">
        <f t="shared" si="3"/>
        <v>0.11</v>
      </c>
      <c r="K30" s="31" t="str">
        <f t="shared" si="4"/>
        <v>Metaheurística</v>
      </c>
    </row>
    <row r="31">
      <c r="A31" s="30" t="s">
        <v>46</v>
      </c>
      <c r="B31" s="30" t="s">
        <v>45</v>
      </c>
      <c r="C31" s="29">
        <v>25.0</v>
      </c>
      <c r="D31" s="29">
        <v>0.0</v>
      </c>
      <c r="E31" s="30">
        <v>25.0</v>
      </c>
      <c r="F31" s="30">
        <v>0.06</v>
      </c>
      <c r="G31" s="30">
        <v>0.0</v>
      </c>
      <c r="H31" s="31">
        <f t="shared" si="1"/>
        <v>0</v>
      </c>
      <c r="I31" s="31" t="str">
        <f t="shared" si="2"/>
        <v>Igual</v>
      </c>
      <c r="J31" s="31">
        <f t="shared" si="3"/>
        <v>0.06</v>
      </c>
      <c r="K31" s="31" t="str">
        <f t="shared" si="4"/>
        <v>Metaheurística</v>
      </c>
    </row>
    <row r="32">
      <c r="A32" s="30" t="s">
        <v>103</v>
      </c>
      <c r="B32" s="30" t="s">
        <v>45</v>
      </c>
      <c r="C32" s="29">
        <v>26.0</v>
      </c>
      <c r="D32" s="29">
        <v>0.0</v>
      </c>
      <c r="E32" s="30">
        <v>26.0</v>
      </c>
      <c r="F32" s="30">
        <v>0.27</v>
      </c>
      <c r="G32" s="30">
        <v>0.0</v>
      </c>
      <c r="H32" s="31">
        <f t="shared" si="1"/>
        <v>0</v>
      </c>
      <c r="I32" s="31" t="str">
        <f t="shared" si="2"/>
        <v>Igual</v>
      </c>
      <c r="J32" s="31">
        <f t="shared" si="3"/>
        <v>0.27</v>
      </c>
      <c r="K32" s="31" t="str">
        <f t="shared" si="4"/>
        <v>Metaheurística</v>
      </c>
    </row>
    <row r="33">
      <c r="A33" s="30" t="s">
        <v>131</v>
      </c>
      <c r="B33" s="30" t="s">
        <v>45</v>
      </c>
      <c r="C33" s="29">
        <v>35.0</v>
      </c>
      <c r="D33" s="29">
        <v>0.0</v>
      </c>
      <c r="E33" s="30">
        <v>35.0</v>
      </c>
      <c r="F33" s="30">
        <v>0.2</v>
      </c>
      <c r="G33" s="30">
        <v>0.0</v>
      </c>
      <c r="H33" s="31">
        <f t="shared" si="1"/>
        <v>0</v>
      </c>
      <c r="I33" s="31" t="str">
        <f t="shared" si="2"/>
        <v>Igual</v>
      </c>
      <c r="J33" s="31">
        <f t="shared" si="3"/>
        <v>0.2</v>
      </c>
      <c r="K33" s="31" t="str">
        <f t="shared" si="4"/>
        <v>Metaheurística</v>
      </c>
    </row>
    <row r="34">
      <c r="A34" s="30" t="s">
        <v>115</v>
      </c>
      <c r="B34" s="30" t="s">
        <v>45</v>
      </c>
      <c r="C34" s="29">
        <v>34.0</v>
      </c>
      <c r="D34" s="29">
        <v>0.0</v>
      </c>
      <c r="E34" s="30">
        <v>34.0</v>
      </c>
      <c r="F34" s="30">
        <v>0.27</v>
      </c>
      <c r="G34" s="30">
        <v>0.0</v>
      </c>
      <c r="H34" s="31">
        <f t="shared" si="1"/>
        <v>0</v>
      </c>
      <c r="I34" s="31" t="str">
        <f t="shared" si="2"/>
        <v>Igual</v>
      </c>
      <c r="J34" s="31">
        <f t="shared" si="3"/>
        <v>0.27</v>
      </c>
      <c r="K34" s="31" t="str">
        <f t="shared" si="4"/>
        <v>Metaheurística</v>
      </c>
    </row>
    <row r="35">
      <c r="A35" s="30" t="s">
        <v>71</v>
      </c>
      <c r="B35" s="30" t="s">
        <v>45</v>
      </c>
      <c r="C35" s="29">
        <v>44.0</v>
      </c>
      <c r="D35" s="29">
        <v>0.0</v>
      </c>
      <c r="E35" s="30">
        <v>44.0</v>
      </c>
      <c r="F35" s="30">
        <v>0.9</v>
      </c>
      <c r="G35" s="30">
        <v>0.0</v>
      </c>
      <c r="H35" s="31">
        <f t="shared" si="1"/>
        <v>0</v>
      </c>
      <c r="I35" s="31" t="str">
        <f t="shared" si="2"/>
        <v>Igual</v>
      </c>
      <c r="J35" s="31">
        <f t="shared" si="3"/>
        <v>0.9</v>
      </c>
      <c r="K35" s="31" t="str">
        <f t="shared" si="4"/>
        <v>Metaheurística</v>
      </c>
    </row>
    <row r="36">
      <c r="A36" s="30" t="s">
        <v>87</v>
      </c>
      <c r="B36" s="30" t="s">
        <v>45</v>
      </c>
      <c r="C36" s="29">
        <v>41.0</v>
      </c>
      <c r="D36" s="29">
        <v>0.0</v>
      </c>
      <c r="E36" s="30">
        <v>41.0</v>
      </c>
      <c r="F36" s="30">
        <v>0.32</v>
      </c>
      <c r="G36" s="30">
        <v>0.0</v>
      </c>
      <c r="H36" s="31">
        <f t="shared" si="1"/>
        <v>0</v>
      </c>
      <c r="I36" s="31" t="str">
        <f t="shared" si="2"/>
        <v>Igual</v>
      </c>
      <c r="J36" s="31">
        <f t="shared" si="3"/>
        <v>0.32</v>
      </c>
      <c r="K36" s="31" t="str">
        <f t="shared" si="4"/>
        <v>Metaheurística</v>
      </c>
    </row>
    <row r="37">
      <c r="A37" s="30" t="s">
        <v>44</v>
      </c>
      <c r="B37" s="30" t="s">
        <v>45</v>
      </c>
      <c r="C37" s="29">
        <v>43.0</v>
      </c>
      <c r="D37" s="29">
        <v>0.0</v>
      </c>
      <c r="E37" s="30">
        <v>43.0</v>
      </c>
      <c r="F37" s="30">
        <v>0.65</v>
      </c>
      <c r="G37" s="30">
        <v>0.0</v>
      </c>
      <c r="H37" s="31">
        <f t="shared" si="1"/>
        <v>0</v>
      </c>
      <c r="I37" s="31" t="str">
        <f t="shared" si="2"/>
        <v>Igual</v>
      </c>
      <c r="J37" s="31">
        <f t="shared" si="3"/>
        <v>0.65</v>
      </c>
      <c r="K37" s="31" t="str">
        <f t="shared" si="4"/>
        <v>Metaheurística</v>
      </c>
    </row>
    <row r="38">
      <c r="A38" s="30" t="s">
        <v>134</v>
      </c>
      <c r="B38" s="30" t="s">
        <v>45</v>
      </c>
      <c r="C38" s="29">
        <v>45.0</v>
      </c>
      <c r="D38" s="29">
        <v>0.0</v>
      </c>
      <c r="E38" s="30">
        <v>45.0</v>
      </c>
      <c r="F38" s="30">
        <v>0.55</v>
      </c>
      <c r="G38" s="30">
        <v>0.0</v>
      </c>
      <c r="H38" s="31">
        <f t="shared" si="1"/>
        <v>0</v>
      </c>
      <c r="I38" s="31" t="str">
        <f t="shared" si="2"/>
        <v>Igual</v>
      </c>
      <c r="J38" s="31">
        <f t="shared" si="3"/>
        <v>0.55</v>
      </c>
      <c r="K38" s="31" t="str">
        <f t="shared" si="4"/>
        <v>Metaheurística</v>
      </c>
    </row>
    <row r="39">
      <c r="A39" s="30" t="s">
        <v>153</v>
      </c>
      <c r="B39" s="30" t="s">
        <v>45</v>
      </c>
      <c r="C39" s="29">
        <v>54.0</v>
      </c>
      <c r="D39" s="29">
        <v>0.0</v>
      </c>
      <c r="E39" s="30">
        <v>54.0</v>
      </c>
      <c r="F39" s="30">
        <v>7.47</v>
      </c>
      <c r="G39" s="30">
        <v>0.0</v>
      </c>
      <c r="H39" s="31">
        <f t="shared" si="1"/>
        <v>0</v>
      </c>
      <c r="I39" s="31" t="str">
        <f t="shared" si="2"/>
        <v>Igual</v>
      </c>
      <c r="J39" s="31">
        <f t="shared" si="3"/>
        <v>7.47</v>
      </c>
      <c r="K39" s="31" t="str">
        <f t="shared" si="4"/>
        <v>Metaheurística</v>
      </c>
    </row>
    <row r="40">
      <c r="A40" s="30" t="s">
        <v>51</v>
      </c>
      <c r="B40" s="30" t="s">
        <v>45</v>
      </c>
      <c r="C40" s="29">
        <v>59.0</v>
      </c>
      <c r="D40" s="29">
        <v>0.0</v>
      </c>
      <c r="E40" s="30">
        <v>59.0</v>
      </c>
      <c r="F40" s="30">
        <v>7.86</v>
      </c>
      <c r="G40" s="30">
        <v>0.0</v>
      </c>
      <c r="H40" s="31">
        <f t="shared" si="1"/>
        <v>0</v>
      </c>
      <c r="I40" s="31" t="str">
        <f t="shared" si="2"/>
        <v>Igual</v>
      </c>
      <c r="J40" s="31">
        <f t="shared" si="3"/>
        <v>7.86</v>
      </c>
      <c r="K40" s="31" t="str">
        <f t="shared" si="4"/>
        <v>Metaheurística</v>
      </c>
    </row>
    <row r="41">
      <c r="A41" s="30" t="s">
        <v>96</v>
      </c>
      <c r="B41" s="30" t="s">
        <v>45</v>
      </c>
      <c r="C41" s="29">
        <v>64.0</v>
      </c>
      <c r="D41" s="29">
        <v>0.0</v>
      </c>
      <c r="E41" s="30">
        <v>64.0</v>
      </c>
      <c r="F41" s="30">
        <v>6.17</v>
      </c>
      <c r="G41" s="30">
        <v>0.0</v>
      </c>
      <c r="H41" s="31">
        <f t="shared" si="1"/>
        <v>0</v>
      </c>
      <c r="I41" s="31" t="str">
        <f t="shared" si="2"/>
        <v>Igual</v>
      </c>
      <c r="J41" s="31">
        <f t="shared" si="3"/>
        <v>6.17</v>
      </c>
      <c r="K41" s="31" t="str">
        <f t="shared" si="4"/>
        <v>Metaheurística</v>
      </c>
    </row>
    <row r="42">
      <c r="A42" s="30" t="s">
        <v>106</v>
      </c>
      <c r="B42" s="30" t="s">
        <v>45</v>
      </c>
      <c r="C42" s="29">
        <v>62.0</v>
      </c>
      <c r="D42" s="29">
        <v>0.0</v>
      </c>
      <c r="E42" s="30">
        <v>62.0</v>
      </c>
      <c r="F42" s="30">
        <v>8.08</v>
      </c>
      <c r="G42" s="30">
        <v>0.0</v>
      </c>
      <c r="H42" s="31">
        <f t="shared" si="1"/>
        <v>0</v>
      </c>
      <c r="I42" s="31" t="str">
        <f t="shared" si="2"/>
        <v>Igual</v>
      </c>
      <c r="J42" s="31">
        <f t="shared" si="3"/>
        <v>8.08</v>
      </c>
      <c r="K42" s="31" t="str">
        <f t="shared" si="4"/>
        <v>Metaheurística</v>
      </c>
    </row>
    <row r="43">
      <c r="A43" s="30" t="s">
        <v>91</v>
      </c>
      <c r="B43" s="30" t="s">
        <v>45</v>
      </c>
      <c r="C43" s="29">
        <v>58.0</v>
      </c>
      <c r="D43" s="29">
        <v>0.0</v>
      </c>
      <c r="E43" s="30">
        <v>58.0</v>
      </c>
      <c r="F43" s="30">
        <v>11.14</v>
      </c>
      <c r="G43" s="30">
        <v>0.0</v>
      </c>
      <c r="H43" s="31">
        <f t="shared" si="1"/>
        <v>0</v>
      </c>
      <c r="I43" s="31" t="str">
        <f t="shared" si="2"/>
        <v>Igual</v>
      </c>
      <c r="J43" s="31">
        <f t="shared" si="3"/>
        <v>11.14</v>
      </c>
      <c r="K43" s="31" t="str">
        <f t="shared" si="4"/>
        <v>Metaheurística</v>
      </c>
    </row>
    <row r="44">
      <c r="A44" s="30" t="s">
        <v>66</v>
      </c>
      <c r="B44" s="30" t="s">
        <v>45</v>
      </c>
      <c r="C44" s="29">
        <v>88.0</v>
      </c>
      <c r="D44" s="29">
        <v>0.0</v>
      </c>
      <c r="E44" s="30">
        <v>88.0</v>
      </c>
      <c r="F44" s="30">
        <v>760.32</v>
      </c>
      <c r="G44" s="30">
        <v>0.0</v>
      </c>
      <c r="H44" s="31">
        <f t="shared" si="1"/>
        <v>0</v>
      </c>
      <c r="I44" s="31" t="str">
        <f t="shared" si="2"/>
        <v>Igual</v>
      </c>
      <c r="J44" s="31">
        <f t="shared" si="3"/>
        <v>760.32</v>
      </c>
      <c r="K44" s="31" t="str">
        <f t="shared" si="4"/>
        <v>Metaheurística</v>
      </c>
    </row>
    <row r="45">
      <c r="A45" s="30" t="s">
        <v>75</v>
      </c>
      <c r="B45" s="30" t="s">
        <v>45</v>
      </c>
      <c r="C45" s="29">
        <v>82.0</v>
      </c>
      <c r="D45" s="29">
        <v>0.0</v>
      </c>
      <c r="E45" s="30">
        <v>82.0</v>
      </c>
      <c r="F45" s="30">
        <v>2757.88</v>
      </c>
      <c r="G45" s="30">
        <v>0.0</v>
      </c>
      <c r="H45" s="31">
        <f t="shared" si="1"/>
        <v>0</v>
      </c>
      <c r="I45" s="31" t="str">
        <f t="shared" si="2"/>
        <v>Igual</v>
      </c>
      <c r="J45" s="31">
        <f t="shared" si="3"/>
        <v>2757.88</v>
      </c>
      <c r="K45" s="31" t="str">
        <f t="shared" si="4"/>
        <v>Metaheurística</v>
      </c>
    </row>
    <row r="46">
      <c r="A46" s="30" t="s">
        <v>58</v>
      </c>
      <c r="B46" s="30" t="s">
        <v>45</v>
      </c>
      <c r="C46" s="29">
        <v>91.0</v>
      </c>
      <c r="D46" s="29">
        <v>0.0</v>
      </c>
      <c r="E46" s="30">
        <v>91.0</v>
      </c>
      <c r="F46" s="30">
        <v>1987.99</v>
      </c>
      <c r="G46" s="30">
        <v>0.0</v>
      </c>
      <c r="H46" s="31">
        <f t="shared" si="1"/>
        <v>0</v>
      </c>
      <c r="I46" s="31" t="str">
        <f t="shared" si="2"/>
        <v>Igual</v>
      </c>
      <c r="J46" s="31">
        <f t="shared" si="3"/>
        <v>1987.99</v>
      </c>
      <c r="K46" s="31" t="str">
        <f t="shared" si="4"/>
        <v>Metaheurística</v>
      </c>
    </row>
    <row r="47">
      <c r="A47" s="30" t="s">
        <v>108</v>
      </c>
      <c r="B47" s="30" t="s">
        <v>45</v>
      </c>
      <c r="C47" s="29">
        <v>93.0</v>
      </c>
      <c r="D47" s="29">
        <v>0.0</v>
      </c>
      <c r="E47" s="30">
        <v>93.0</v>
      </c>
      <c r="F47" s="30">
        <v>3600.01</v>
      </c>
      <c r="G47" s="32">
        <v>6.4516</v>
      </c>
      <c r="H47" s="31">
        <f t="shared" si="1"/>
        <v>0</v>
      </c>
      <c r="I47" s="31" t="str">
        <f t="shared" si="2"/>
        <v>Igual</v>
      </c>
      <c r="J47" s="31">
        <f t="shared" si="3"/>
        <v>3600.01</v>
      </c>
      <c r="K47" s="31" t="str">
        <f t="shared" si="4"/>
        <v>Metaheurística</v>
      </c>
    </row>
    <row r="48">
      <c r="A48" s="30" t="s">
        <v>122</v>
      </c>
      <c r="B48" s="30" t="s">
        <v>45</v>
      </c>
      <c r="C48" s="29">
        <v>92.0</v>
      </c>
      <c r="D48" s="29">
        <v>0.0</v>
      </c>
      <c r="E48" s="30">
        <v>92.0</v>
      </c>
      <c r="F48" s="30">
        <v>33.44</v>
      </c>
      <c r="G48" s="30">
        <v>0.0</v>
      </c>
      <c r="H48" s="31">
        <f t="shared" si="1"/>
        <v>0</v>
      </c>
      <c r="I48" s="31" t="str">
        <f t="shared" si="2"/>
        <v>Igual</v>
      </c>
      <c r="J48" s="31">
        <f t="shared" si="3"/>
        <v>33.44</v>
      </c>
      <c r="K48" s="31" t="str">
        <f t="shared" si="4"/>
        <v>Metaheurística</v>
      </c>
    </row>
    <row r="49">
      <c r="A49" s="30" t="s">
        <v>88</v>
      </c>
      <c r="B49" s="30" t="s">
        <v>45</v>
      </c>
      <c r="C49" s="29">
        <v>115.0</v>
      </c>
      <c r="D49" s="29">
        <v>0.0</v>
      </c>
      <c r="E49" s="30">
        <v>115.0</v>
      </c>
      <c r="F49" s="30">
        <v>3600.01</v>
      </c>
      <c r="G49" s="32">
        <v>8.6957</v>
      </c>
      <c r="H49" s="31">
        <f t="shared" si="1"/>
        <v>0</v>
      </c>
      <c r="I49" s="31" t="str">
        <f t="shared" si="2"/>
        <v>Igual</v>
      </c>
      <c r="J49" s="31">
        <f t="shared" si="3"/>
        <v>3600.01</v>
      </c>
      <c r="K49" s="31" t="str">
        <f t="shared" si="4"/>
        <v>Metaheurística</v>
      </c>
    </row>
    <row r="50">
      <c r="A50" s="30" t="s">
        <v>135</v>
      </c>
      <c r="B50" s="30" t="s">
        <v>45</v>
      </c>
      <c r="C50" s="29">
        <v>124.0</v>
      </c>
      <c r="D50" s="29">
        <v>0.0</v>
      </c>
      <c r="E50" s="30">
        <v>124.0</v>
      </c>
      <c r="F50" s="30">
        <v>3600.01</v>
      </c>
      <c r="G50" s="32">
        <v>12.9032</v>
      </c>
      <c r="H50" s="31">
        <f t="shared" si="1"/>
        <v>0</v>
      </c>
      <c r="I50" s="31" t="str">
        <f t="shared" si="2"/>
        <v>Igual</v>
      </c>
      <c r="J50" s="31">
        <f t="shared" si="3"/>
        <v>3600.01</v>
      </c>
      <c r="K50" s="31" t="str">
        <f t="shared" si="4"/>
        <v>Metaheurística</v>
      </c>
    </row>
    <row r="51">
      <c r="A51" s="30" t="s">
        <v>54</v>
      </c>
      <c r="B51" s="30" t="s">
        <v>45</v>
      </c>
      <c r="C51" s="29">
        <v>122.0</v>
      </c>
      <c r="D51" s="29">
        <v>0.0</v>
      </c>
      <c r="E51" s="30">
        <v>122.0</v>
      </c>
      <c r="F51" s="30">
        <v>3600.01</v>
      </c>
      <c r="G51" s="32">
        <v>7.377</v>
      </c>
      <c r="H51" s="31">
        <f t="shared" si="1"/>
        <v>0</v>
      </c>
      <c r="I51" s="31" t="str">
        <f t="shared" si="2"/>
        <v>Igual</v>
      </c>
      <c r="J51" s="31">
        <f t="shared" si="3"/>
        <v>3600.01</v>
      </c>
      <c r="K51" s="31" t="str">
        <f t="shared" si="4"/>
        <v>Metaheurística</v>
      </c>
    </row>
    <row r="52">
      <c r="A52" s="30" t="s">
        <v>148</v>
      </c>
      <c r="B52" s="30" t="s">
        <v>45</v>
      </c>
      <c r="C52" s="29">
        <v>118.0</v>
      </c>
      <c r="D52" s="29">
        <v>0.0</v>
      </c>
      <c r="E52" s="30">
        <v>116.0</v>
      </c>
      <c r="F52" s="30">
        <v>3600.01</v>
      </c>
      <c r="G52" s="32">
        <v>28.4483</v>
      </c>
      <c r="H52" s="31">
        <f t="shared" si="1"/>
        <v>-2</v>
      </c>
      <c r="I52" s="31" t="str">
        <f t="shared" si="2"/>
        <v>Metaheurística</v>
      </c>
      <c r="J52" s="31">
        <f t="shared" si="3"/>
        <v>3600.01</v>
      </c>
      <c r="K52" s="31" t="str">
        <f t="shared" si="4"/>
        <v>Metaheurística</v>
      </c>
    </row>
    <row r="53">
      <c r="A53" s="30" t="s">
        <v>76</v>
      </c>
      <c r="B53" s="30" t="s">
        <v>45</v>
      </c>
      <c r="C53" s="29">
        <v>127.0</v>
      </c>
      <c r="D53" s="29">
        <v>0.0</v>
      </c>
      <c r="E53" s="30">
        <v>127.0</v>
      </c>
      <c r="F53" s="30">
        <v>3600.01</v>
      </c>
      <c r="G53" s="32">
        <v>6.2992</v>
      </c>
      <c r="H53" s="31">
        <f t="shared" si="1"/>
        <v>0</v>
      </c>
      <c r="I53" s="31" t="str">
        <f t="shared" si="2"/>
        <v>Igual</v>
      </c>
      <c r="J53" s="31">
        <f t="shared" si="3"/>
        <v>3600.01</v>
      </c>
      <c r="K53" s="31" t="str">
        <f t="shared" si="4"/>
        <v>Metaheurística</v>
      </c>
    </row>
    <row r="54">
      <c r="A54" s="30" t="s">
        <v>62</v>
      </c>
      <c r="B54" s="30" t="s">
        <v>45</v>
      </c>
      <c r="C54" s="29">
        <v>222.0</v>
      </c>
      <c r="D54" s="29">
        <v>0.1</v>
      </c>
      <c r="E54" s="30">
        <v>215.0</v>
      </c>
      <c r="F54" s="30">
        <v>3600.02</v>
      </c>
      <c r="G54" s="32">
        <v>29.7674</v>
      </c>
      <c r="H54" s="31">
        <f t="shared" si="1"/>
        <v>-7</v>
      </c>
      <c r="I54" s="31" t="str">
        <f t="shared" si="2"/>
        <v>Metaheurística</v>
      </c>
      <c r="J54" s="31">
        <f t="shared" si="3"/>
        <v>3599.92</v>
      </c>
      <c r="K54" s="31" t="str">
        <f t="shared" si="4"/>
        <v>Metaheurística</v>
      </c>
    </row>
    <row r="55">
      <c r="A55" s="30" t="s">
        <v>72</v>
      </c>
      <c r="B55" s="30" t="s">
        <v>45</v>
      </c>
      <c r="C55" s="29">
        <v>192.0</v>
      </c>
      <c r="D55" s="29">
        <v>0.1</v>
      </c>
      <c r="E55" s="30">
        <v>184.0</v>
      </c>
      <c r="F55" s="30">
        <v>3600.01</v>
      </c>
      <c r="G55" s="32">
        <v>27.7174</v>
      </c>
      <c r="H55" s="31">
        <f t="shared" si="1"/>
        <v>-8</v>
      </c>
      <c r="I55" s="31" t="str">
        <f t="shared" si="2"/>
        <v>Metaheurística</v>
      </c>
      <c r="J55" s="31">
        <f t="shared" si="3"/>
        <v>3599.91</v>
      </c>
      <c r="K55" s="31" t="str">
        <f t="shared" si="4"/>
        <v>Metaheurística</v>
      </c>
    </row>
    <row r="56">
      <c r="A56" s="30" t="s">
        <v>74</v>
      </c>
      <c r="B56" s="30" t="s">
        <v>45</v>
      </c>
      <c r="C56" s="29">
        <v>196.0</v>
      </c>
      <c r="D56" s="29">
        <v>0.1</v>
      </c>
      <c r="E56" s="30">
        <v>195.0</v>
      </c>
      <c r="F56" s="30">
        <v>3600.01</v>
      </c>
      <c r="G56" s="32">
        <v>29.7436</v>
      </c>
      <c r="H56" s="31">
        <f t="shared" si="1"/>
        <v>-1</v>
      </c>
      <c r="I56" s="31" t="str">
        <f t="shared" si="2"/>
        <v>Metaheurística</v>
      </c>
      <c r="J56" s="31">
        <f t="shared" si="3"/>
        <v>3599.91</v>
      </c>
      <c r="K56" s="31" t="str">
        <f t="shared" si="4"/>
        <v>Metaheurística</v>
      </c>
    </row>
    <row r="57">
      <c r="A57" s="30" t="s">
        <v>120</v>
      </c>
      <c r="B57" s="30" t="s">
        <v>45</v>
      </c>
      <c r="C57" s="29">
        <v>189.0</v>
      </c>
      <c r="D57" s="29">
        <v>0.1</v>
      </c>
      <c r="E57" s="30">
        <v>180.0</v>
      </c>
      <c r="F57" s="30">
        <v>3600.01</v>
      </c>
      <c r="G57" s="32">
        <v>38.8889</v>
      </c>
      <c r="H57" s="31">
        <f t="shared" si="1"/>
        <v>-9</v>
      </c>
      <c r="I57" s="31" t="str">
        <f t="shared" si="2"/>
        <v>Metaheurística</v>
      </c>
      <c r="J57" s="31">
        <f t="shared" si="3"/>
        <v>3599.91</v>
      </c>
      <c r="K57" s="31" t="str">
        <f t="shared" si="4"/>
        <v>Metaheurística</v>
      </c>
    </row>
    <row r="58">
      <c r="A58" s="30" t="s">
        <v>119</v>
      </c>
      <c r="B58" s="30" t="s">
        <v>45</v>
      </c>
      <c r="C58" s="29">
        <v>192.0</v>
      </c>
      <c r="D58" s="29">
        <v>0.1</v>
      </c>
      <c r="E58" s="30">
        <v>194.0</v>
      </c>
      <c r="F58" s="30">
        <v>3600.01</v>
      </c>
      <c r="G58" s="32">
        <v>31.9588</v>
      </c>
      <c r="H58" s="31">
        <f t="shared" si="1"/>
        <v>2</v>
      </c>
      <c r="I58" s="31" t="str">
        <f t="shared" si="2"/>
        <v>Gurobi</v>
      </c>
      <c r="J58" s="31">
        <f t="shared" si="3"/>
        <v>3599.91</v>
      </c>
      <c r="K58" s="31" t="str">
        <f t="shared" si="4"/>
        <v>Metaheurística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>
      <c r="A59" s="30" t="s">
        <v>101</v>
      </c>
      <c r="B59" s="30" t="s">
        <v>45</v>
      </c>
      <c r="C59" s="29">
        <v>300.0</v>
      </c>
      <c r="D59" s="29">
        <v>0.2</v>
      </c>
      <c r="E59" s="30">
        <v>293.0</v>
      </c>
      <c r="F59" s="30">
        <v>3631.57</v>
      </c>
      <c r="G59" s="32">
        <v>43.0034</v>
      </c>
      <c r="H59" s="31">
        <f t="shared" si="1"/>
        <v>-7</v>
      </c>
      <c r="I59" s="31" t="str">
        <f t="shared" si="2"/>
        <v>Metaheurística</v>
      </c>
      <c r="J59" s="31">
        <f t="shared" si="3"/>
        <v>3631.37</v>
      </c>
      <c r="K59" s="31" t="str">
        <f t="shared" si="4"/>
        <v>Metaheurística</v>
      </c>
    </row>
    <row r="60">
      <c r="A60" s="30" t="s">
        <v>117</v>
      </c>
      <c r="B60" s="30" t="s">
        <v>45</v>
      </c>
      <c r="C60" s="29">
        <v>282.0</v>
      </c>
      <c r="D60" s="29">
        <v>0.2</v>
      </c>
      <c r="E60" s="30">
        <v>271.0</v>
      </c>
      <c r="F60" s="30">
        <v>3600.02</v>
      </c>
      <c r="G60" s="32">
        <v>38.3764</v>
      </c>
      <c r="H60" s="31">
        <f t="shared" si="1"/>
        <v>-11</v>
      </c>
      <c r="I60" s="31" t="str">
        <f t="shared" si="2"/>
        <v>Metaheurística</v>
      </c>
      <c r="J60" s="31">
        <f t="shared" si="3"/>
        <v>3599.82</v>
      </c>
      <c r="K60" s="31" t="str">
        <f t="shared" si="4"/>
        <v>Metaheurística</v>
      </c>
    </row>
    <row r="61">
      <c r="A61" s="30" t="s">
        <v>98</v>
      </c>
      <c r="B61" s="30" t="s">
        <v>45</v>
      </c>
      <c r="C61" s="29">
        <v>300.0</v>
      </c>
      <c r="D61" s="29">
        <v>0.1</v>
      </c>
      <c r="E61" s="30">
        <v>290.0</v>
      </c>
      <c r="F61" s="30">
        <v>3600.0</v>
      </c>
      <c r="G61" s="30">
        <v>40.0</v>
      </c>
      <c r="H61" s="31">
        <f t="shared" si="1"/>
        <v>-10</v>
      </c>
      <c r="I61" s="31" t="str">
        <f t="shared" si="2"/>
        <v>Metaheurística</v>
      </c>
      <c r="J61" s="31">
        <f t="shared" si="3"/>
        <v>3599.9</v>
      </c>
      <c r="K61" s="31" t="str">
        <f t="shared" si="4"/>
        <v>Metaheurística</v>
      </c>
    </row>
    <row r="62">
      <c r="A62" s="30" t="s">
        <v>143</v>
      </c>
      <c r="B62" s="30" t="s">
        <v>45</v>
      </c>
      <c r="C62" s="29">
        <v>280.0</v>
      </c>
      <c r="D62" s="29">
        <v>0.1</v>
      </c>
      <c r="E62" s="30">
        <v>276.0</v>
      </c>
      <c r="F62" s="30">
        <v>3651.2</v>
      </c>
      <c r="G62" s="32">
        <v>38.7681</v>
      </c>
      <c r="H62" s="31">
        <f t="shared" si="1"/>
        <v>-4</v>
      </c>
      <c r="I62" s="31" t="str">
        <f t="shared" si="2"/>
        <v>Metaheurística</v>
      </c>
      <c r="J62" s="31">
        <f t="shared" si="3"/>
        <v>3651.1</v>
      </c>
      <c r="K62" s="31" t="str">
        <f t="shared" si="4"/>
        <v>Metaheurística</v>
      </c>
    </row>
    <row r="63">
      <c r="A63" s="30" t="s">
        <v>92</v>
      </c>
      <c r="B63" s="30" t="s">
        <v>45</v>
      </c>
      <c r="C63" s="29">
        <v>303.0</v>
      </c>
      <c r="D63" s="29">
        <v>0.1</v>
      </c>
      <c r="E63" s="30">
        <v>290.0</v>
      </c>
      <c r="F63" s="30">
        <v>3600.0</v>
      </c>
      <c r="G63" s="32">
        <v>41.3793</v>
      </c>
      <c r="H63" s="31">
        <f t="shared" si="1"/>
        <v>-13</v>
      </c>
      <c r="I63" s="31" t="str">
        <f t="shared" si="2"/>
        <v>Metaheurística</v>
      </c>
      <c r="J63" s="31">
        <f t="shared" si="3"/>
        <v>3599.9</v>
      </c>
      <c r="K63" s="31" t="str">
        <f t="shared" si="4"/>
        <v>Metaheurística</v>
      </c>
    </row>
    <row r="64">
      <c r="A64" s="30" t="s">
        <v>97</v>
      </c>
      <c r="B64" s="30" t="s">
        <v>45</v>
      </c>
      <c r="C64" s="29">
        <v>389.0</v>
      </c>
      <c r="D64" s="29">
        <v>0.2</v>
      </c>
      <c r="E64" s="30">
        <v>367.0</v>
      </c>
      <c r="F64" s="30">
        <v>3600.11</v>
      </c>
      <c r="G64" s="32">
        <v>61.3079</v>
      </c>
      <c r="H64" s="31">
        <f t="shared" si="1"/>
        <v>-22</v>
      </c>
      <c r="I64" s="31" t="str">
        <f t="shared" si="2"/>
        <v>Metaheurística</v>
      </c>
      <c r="J64" s="31">
        <f t="shared" si="3"/>
        <v>3599.91</v>
      </c>
      <c r="K64" s="31" t="str">
        <f t="shared" si="4"/>
        <v>Metaheurística</v>
      </c>
    </row>
    <row r="65">
      <c r="A65" s="30" t="s">
        <v>121</v>
      </c>
      <c r="B65" s="30" t="s">
        <v>45</v>
      </c>
      <c r="C65" s="29">
        <v>383.0</v>
      </c>
      <c r="D65" s="29">
        <v>0.2</v>
      </c>
      <c r="E65" s="30">
        <v>372.0</v>
      </c>
      <c r="F65" s="30">
        <v>3614.45</v>
      </c>
      <c r="G65" s="32">
        <v>45.4301</v>
      </c>
      <c r="H65" s="31">
        <f t="shared" si="1"/>
        <v>-11</v>
      </c>
      <c r="I65" s="31" t="str">
        <f t="shared" si="2"/>
        <v>Metaheurística</v>
      </c>
      <c r="J65" s="31">
        <f t="shared" si="3"/>
        <v>3614.25</v>
      </c>
      <c r="K65" s="31" t="str">
        <f t="shared" si="4"/>
        <v>Metaheurística</v>
      </c>
    </row>
    <row r="66">
      <c r="A66" s="30" t="s">
        <v>116</v>
      </c>
      <c r="B66" s="30" t="s">
        <v>45</v>
      </c>
      <c r="C66" s="29">
        <v>378.0</v>
      </c>
      <c r="D66" s="29">
        <v>0.2</v>
      </c>
      <c r="E66" s="30">
        <v>366.0</v>
      </c>
      <c r="F66" s="30">
        <v>3603.83</v>
      </c>
      <c r="G66" s="32">
        <v>56.0109</v>
      </c>
      <c r="H66" s="31">
        <f t="shared" si="1"/>
        <v>-12</v>
      </c>
      <c r="I66" s="31" t="str">
        <f t="shared" si="2"/>
        <v>Metaheurística</v>
      </c>
      <c r="J66" s="31">
        <f t="shared" si="3"/>
        <v>3603.63</v>
      </c>
      <c r="K66" s="31" t="str">
        <f t="shared" si="4"/>
        <v>Metaheurística</v>
      </c>
    </row>
    <row r="67">
      <c r="A67" s="30" t="s">
        <v>102</v>
      </c>
      <c r="B67" s="30" t="s">
        <v>45</v>
      </c>
      <c r="C67" s="29">
        <v>363.0</v>
      </c>
      <c r="D67" s="29">
        <v>0.2</v>
      </c>
      <c r="E67" s="30">
        <v>348.0</v>
      </c>
      <c r="F67" s="30">
        <v>3600.11</v>
      </c>
      <c r="G67" s="32">
        <v>49.1379</v>
      </c>
      <c r="H67" s="31">
        <f t="shared" si="1"/>
        <v>-15</v>
      </c>
      <c r="I67" s="31" t="str">
        <f t="shared" si="2"/>
        <v>Metaheurística</v>
      </c>
      <c r="J67" s="31">
        <f t="shared" si="3"/>
        <v>3599.91</v>
      </c>
      <c r="K67" s="31" t="str">
        <f t="shared" si="4"/>
        <v>Metaheurística</v>
      </c>
    </row>
    <row r="68">
      <c r="A68" s="30" t="s">
        <v>147</v>
      </c>
      <c r="B68" s="30" t="s">
        <v>45</v>
      </c>
      <c r="C68" s="29">
        <v>383.0</v>
      </c>
      <c r="D68" s="29">
        <v>0.2</v>
      </c>
      <c r="E68" s="30">
        <v>374.0</v>
      </c>
      <c r="F68" s="30">
        <v>3600.1</v>
      </c>
      <c r="G68" s="32">
        <v>51.3369</v>
      </c>
      <c r="H68" s="31">
        <f t="shared" si="1"/>
        <v>-9</v>
      </c>
      <c r="I68" s="31" t="str">
        <f t="shared" si="2"/>
        <v>Metaheurística</v>
      </c>
      <c r="J68" s="31">
        <f t="shared" si="3"/>
        <v>3599.9</v>
      </c>
      <c r="K68" s="31" t="str">
        <f t="shared" si="4"/>
        <v>Metaheurística</v>
      </c>
    </row>
    <row r="69">
      <c r="A69" s="30" t="s">
        <v>146</v>
      </c>
      <c r="B69" s="30" t="s">
        <v>45</v>
      </c>
      <c r="C69" s="29">
        <v>470.0</v>
      </c>
      <c r="D69" s="29">
        <v>0.3</v>
      </c>
      <c r="E69" s="30">
        <v>415.0</v>
      </c>
      <c r="F69" s="30">
        <v>3600.14</v>
      </c>
      <c r="G69" s="32">
        <v>572.2892</v>
      </c>
      <c r="H69" s="31">
        <f t="shared" si="1"/>
        <v>-55</v>
      </c>
      <c r="I69" s="31" t="str">
        <f t="shared" si="2"/>
        <v>Metaheurística</v>
      </c>
      <c r="J69" s="31">
        <f t="shared" si="3"/>
        <v>3599.84</v>
      </c>
      <c r="K69" s="31" t="str">
        <f t="shared" si="4"/>
        <v>Metaheurística</v>
      </c>
    </row>
    <row r="70">
      <c r="A70" s="30" t="s">
        <v>89</v>
      </c>
      <c r="B70" s="30" t="s">
        <v>45</v>
      </c>
      <c r="C70" s="29">
        <v>470.0</v>
      </c>
      <c r="D70" s="29">
        <v>0.3</v>
      </c>
      <c r="E70" s="30">
        <v>410.0</v>
      </c>
      <c r="F70" s="30">
        <v>3600.22</v>
      </c>
      <c r="G70" s="32">
        <v>565.3659</v>
      </c>
      <c r="H70" s="31">
        <f t="shared" si="1"/>
        <v>-60</v>
      </c>
      <c r="I70" s="31" t="str">
        <f t="shared" si="2"/>
        <v>Metaheurística</v>
      </c>
      <c r="J70" s="31">
        <f t="shared" si="3"/>
        <v>3599.92</v>
      </c>
      <c r="K70" s="31" t="str">
        <f t="shared" si="4"/>
        <v>Metaheurística</v>
      </c>
    </row>
    <row r="71">
      <c r="A71" s="30" t="s">
        <v>47</v>
      </c>
      <c r="B71" s="30" t="s">
        <v>45</v>
      </c>
      <c r="C71" s="29">
        <v>468.0</v>
      </c>
      <c r="D71" s="29">
        <v>0.3</v>
      </c>
      <c r="E71" s="30">
        <v>417.0</v>
      </c>
      <c r="F71" s="30">
        <v>3600.13</v>
      </c>
      <c r="G71" s="32">
        <v>544.6043</v>
      </c>
      <c r="H71" s="31">
        <f t="shared" si="1"/>
        <v>-51</v>
      </c>
      <c r="I71" s="31" t="str">
        <f t="shared" si="2"/>
        <v>Metaheurística</v>
      </c>
      <c r="J71" s="31">
        <f t="shared" si="3"/>
        <v>3599.83</v>
      </c>
      <c r="K71" s="31" t="str">
        <f t="shared" si="4"/>
        <v>Metaheurística</v>
      </c>
    </row>
    <row r="72">
      <c r="A72" s="30" t="s">
        <v>137</v>
      </c>
      <c r="B72" s="30" t="s">
        <v>45</v>
      </c>
      <c r="C72" s="29">
        <v>479.0</v>
      </c>
      <c r="D72" s="29">
        <v>0.3</v>
      </c>
      <c r="E72" s="30">
        <v>444.0</v>
      </c>
      <c r="F72" s="30">
        <v>3600.22</v>
      </c>
      <c r="G72" s="32">
        <v>642.7928</v>
      </c>
      <c r="H72" s="31">
        <f t="shared" si="1"/>
        <v>-35</v>
      </c>
      <c r="I72" s="31" t="str">
        <f t="shared" si="2"/>
        <v>Metaheurística</v>
      </c>
      <c r="J72" s="31">
        <f t="shared" si="3"/>
        <v>3599.92</v>
      </c>
      <c r="K72" s="31" t="str">
        <f t="shared" si="4"/>
        <v>Metaheurística</v>
      </c>
    </row>
    <row r="73">
      <c r="A73" s="30" t="s">
        <v>136</v>
      </c>
      <c r="B73" s="30" t="s">
        <v>45</v>
      </c>
      <c r="C73" s="29">
        <v>420.0</v>
      </c>
      <c r="D73" s="29">
        <v>0.3</v>
      </c>
      <c r="E73" s="30">
        <v>390.0</v>
      </c>
      <c r="F73" s="30">
        <v>3600.19</v>
      </c>
      <c r="G73" s="32">
        <v>783.5897</v>
      </c>
      <c r="H73" s="31">
        <f t="shared" si="1"/>
        <v>-30</v>
      </c>
      <c r="I73" s="31" t="str">
        <f t="shared" si="2"/>
        <v>Metaheurística</v>
      </c>
      <c r="J73" s="31">
        <f t="shared" si="3"/>
        <v>3599.89</v>
      </c>
      <c r="K73" s="31" t="str">
        <f t="shared" si="4"/>
        <v>Metaheurística</v>
      </c>
    </row>
    <row r="74">
      <c r="A74" s="30" t="s">
        <v>128</v>
      </c>
      <c r="B74" s="30" t="s">
        <v>45</v>
      </c>
      <c r="C74" s="29">
        <v>671.0</v>
      </c>
      <c r="D74" s="29">
        <v>0.5</v>
      </c>
      <c r="E74" s="30">
        <v>593.0</v>
      </c>
      <c r="F74" s="30">
        <v>3600.08</v>
      </c>
      <c r="G74" s="32">
        <v>838.1113</v>
      </c>
      <c r="H74" s="31">
        <f t="shared" si="1"/>
        <v>-78</v>
      </c>
      <c r="I74" s="31" t="str">
        <f t="shared" si="2"/>
        <v>Metaheurística</v>
      </c>
      <c r="J74" s="31">
        <f t="shared" si="3"/>
        <v>3599.58</v>
      </c>
      <c r="K74" s="31" t="str">
        <f t="shared" si="4"/>
        <v>Metaheurística</v>
      </c>
    </row>
    <row r="75">
      <c r="A75" s="30" t="s">
        <v>68</v>
      </c>
      <c r="B75" s="30" t="s">
        <v>45</v>
      </c>
      <c r="C75" s="29">
        <v>614.0</v>
      </c>
      <c r="D75" s="29">
        <v>0.0</v>
      </c>
      <c r="E75" s="30">
        <v>598.0</v>
      </c>
      <c r="F75" s="30">
        <v>3600.14</v>
      </c>
      <c r="G75" s="32">
        <v>846.3211</v>
      </c>
      <c r="H75" s="31">
        <f t="shared" si="1"/>
        <v>-16</v>
      </c>
      <c r="I75" s="31" t="str">
        <f t="shared" si="2"/>
        <v>Metaheurística</v>
      </c>
      <c r="J75" s="31">
        <f t="shared" si="3"/>
        <v>3600.14</v>
      </c>
      <c r="K75" s="31" t="str">
        <f t="shared" si="4"/>
        <v>Metaheurística</v>
      </c>
    </row>
    <row r="76">
      <c r="A76" s="30" t="s">
        <v>112</v>
      </c>
      <c r="B76" s="30" t="s">
        <v>45</v>
      </c>
      <c r="C76" s="29">
        <v>648.0</v>
      </c>
      <c r="D76" s="29">
        <v>0.5</v>
      </c>
      <c r="E76" s="30">
        <v>629.0</v>
      </c>
      <c r="F76" s="30">
        <v>3600.1</v>
      </c>
      <c r="G76" s="32">
        <v>785.8506</v>
      </c>
      <c r="H76" s="31">
        <f t="shared" si="1"/>
        <v>-19</v>
      </c>
      <c r="I76" s="31" t="str">
        <f t="shared" si="2"/>
        <v>Metaheurística</v>
      </c>
      <c r="J76" s="31">
        <f t="shared" si="3"/>
        <v>3599.6</v>
      </c>
      <c r="K76" s="31" t="str">
        <f t="shared" si="4"/>
        <v>Metaheurística</v>
      </c>
    </row>
    <row r="77">
      <c r="A77" s="30" t="s">
        <v>145</v>
      </c>
      <c r="B77" s="30" t="s">
        <v>45</v>
      </c>
      <c r="C77" s="29">
        <v>673.0</v>
      </c>
      <c r="D77" s="29">
        <v>0.5</v>
      </c>
      <c r="E77" s="30">
        <v>583.0</v>
      </c>
      <c r="F77" s="30">
        <v>3600.06</v>
      </c>
      <c r="G77" s="32">
        <v>867.2384</v>
      </c>
      <c r="H77" s="31">
        <f t="shared" si="1"/>
        <v>-90</v>
      </c>
      <c r="I77" s="31" t="str">
        <f t="shared" si="2"/>
        <v>Metaheurística</v>
      </c>
      <c r="J77" s="31">
        <f t="shared" si="3"/>
        <v>3599.56</v>
      </c>
      <c r="K77" s="31" t="str">
        <f t="shared" si="4"/>
        <v>Metaheurística</v>
      </c>
    </row>
    <row r="78">
      <c r="A78" s="30" t="s">
        <v>56</v>
      </c>
      <c r="B78" s="30" t="s">
        <v>45</v>
      </c>
      <c r="C78" s="29">
        <v>583.0</v>
      </c>
      <c r="D78" s="29">
        <v>0.5</v>
      </c>
      <c r="E78" s="30">
        <v>541.0</v>
      </c>
      <c r="F78" s="30">
        <v>3600.08</v>
      </c>
      <c r="G78" s="32">
        <v>909.6118</v>
      </c>
      <c r="H78" s="31">
        <f t="shared" si="1"/>
        <v>-42</v>
      </c>
      <c r="I78" s="31" t="str">
        <f t="shared" si="2"/>
        <v>Metaheurística</v>
      </c>
      <c r="J78" s="31">
        <f t="shared" si="3"/>
        <v>3599.58</v>
      </c>
      <c r="K78" s="31" t="str">
        <f t="shared" si="4"/>
        <v>Metaheurística</v>
      </c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</sheetData>
  <autoFilter ref="$A$1:$K$78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5.13"/>
    <col customWidth="1" min="3" max="3" width="27.38"/>
    <col customWidth="1" min="4" max="4" width="24.13"/>
    <col customWidth="1" min="5" max="5" width="21.63"/>
    <col customWidth="1" min="6" max="6" width="18.0"/>
    <col customWidth="1" min="7" max="7" width="16.5"/>
    <col customWidth="1" min="8" max="8" width="18.13"/>
    <col customWidth="1" min="9" max="9" width="22.13"/>
    <col customWidth="1" min="10" max="10" width="17.63"/>
    <col customWidth="1" min="11" max="11" width="21.5"/>
  </cols>
  <sheetData>
    <row r="1">
      <c r="A1" s="27" t="s">
        <v>38</v>
      </c>
      <c r="B1" s="27" t="s">
        <v>39</v>
      </c>
      <c r="C1" s="28" t="s">
        <v>174</v>
      </c>
      <c r="D1" s="28" t="s">
        <v>175</v>
      </c>
      <c r="E1" s="27" t="s">
        <v>176</v>
      </c>
      <c r="F1" s="27" t="s">
        <v>169</v>
      </c>
      <c r="G1" s="27" t="s">
        <v>168</v>
      </c>
      <c r="H1" s="29" t="s">
        <v>177</v>
      </c>
      <c r="I1" s="29" t="s">
        <v>179</v>
      </c>
      <c r="J1" s="29" t="s">
        <v>178</v>
      </c>
      <c r="K1" s="29" t="s">
        <v>180</v>
      </c>
      <c r="L1" s="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30" t="s">
        <v>93</v>
      </c>
      <c r="B2" s="30" t="s">
        <v>53</v>
      </c>
      <c r="C2" s="29">
        <v>185.0</v>
      </c>
      <c r="D2" s="29">
        <v>0.0</v>
      </c>
      <c r="E2" s="30">
        <v>185.0</v>
      </c>
      <c r="F2" s="30">
        <v>0.0</v>
      </c>
      <c r="G2" s="30">
        <v>0.0</v>
      </c>
      <c r="H2" s="31">
        <f t="shared" ref="H2:H78" si="1">E2-C2</f>
        <v>0</v>
      </c>
      <c r="I2" s="31" t="str">
        <f t="shared" ref="I2:I78" si="2">IF(H2=0,"Igual",IF(H2&gt;0,"Gurobi","Metaheurística"))</f>
        <v>Igual</v>
      </c>
      <c r="J2" s="31">
        <f t="shared" ref="J2:J78" si="3">F2-D2</f>
        <v>0</v>
      </c>
      <c r="K2" s="31" t="str">
        <f t="shared" ref="K2:K78" si="4">IF(J2=0,"Igual",IF(J2&lt;0,"Gurobi","Metaheurística"))</f>
        <v>Igual</v>
      </c>
    </row>
    <row r="3">
      <c r="A3" s="30" t="s">
        <v>36</v>
      </c>
      <c r="B3" s="30" t="s">
        <v>53</v>
      </c>
      <c r="C3" s="29">
        <v>159.0</v>
      </c>
      <c r="D3" s="29">
        <v>0.0</v>
      </c>
      <c r="E3" s="30">
        <v>159.0</v>
      </c>
      <c r="F3" s="30">
        <v>0.01</v>
      </c>
      <c r="G3" s="30">
        <v>0.0</v>
      </c>
      <c r="H3" s="31">
        <f t="shared" si="1"/>
        <v>0</v>
      </c>
      <c r="I3" s="31" t="str">
        <f t="shared" si="2"/>
        <v>Igual</v>
      </c>
      <c r="J3" s="31">
        <f t="shared" si="3"/>
        <v>0.01</v>
      </c>
      <c r="K3" s="31" t="str">
        <f t="shared" si="4"/>
        <v>Metaheurística</v>
      </c>
    </row>
    <row r="4">
      <c r="A4" s="30" t="s">
        <v>55</v>
      </c>
      <c r="B4" s="30" t="s">
        <v>53</v>
      </c>
      <c r="C4" s="29">
        <v>378.0</v>
      </c>
      <c r="D4" s="29">
        <v>0.1</v>
      </c>
      <c r="E4" s="30">
        <v>378.0</v>
      </c>
      <c r="F4" s="30">
        <v>0.07</v>
      </c>
      <c r="G4" s="30">
        <v>0.0</v>
      </c>
      <c r="H4" s="31">
        <f t="shared" si="1"/>
        <v>0</v>
      </c>
      <c r="I4" s="31" t="str">
        <f t="shared" si="2"/>
        <v>Igual</v>
      </c>
      <c r="J4" s="31">
        <f t="shared" si="3"/>
        <v>-0.03</v>
      </c>
      <c r="K4" s="31" t="str">
        <f t="shared" si="4"/>
        <v>Gurobi</v>
      </c>
    </row>
    <row r="5">
      <c r="A5" s="30" t="s">
        <v>141</v>
      </c>
      <c r="B5" s="30" t="s">
        <v>53</v>
      </c>
      <c r="C5" s="29">
        <v>247.0</v>
      </c>
      <c r="D5" s="29">
        <v>0.1</v>
      </c>
      <c r="E5" s="30">
        <v>247.0</v>
      </c>
      <c r="F5" s="30">
        <v>0.12</v>
      </c>
      <c r="G5" s="30">
        <v>0.0</v>
      </c>
      <c r="H5" s="31">
        <f t="shared" si="1"/>
        <v>0</v>
      </c>
      <c r="I5" s="31" t="str">
        <f t="shared" si="2"/>
        <v>Igual</v>
      </c>
      <c r="J5" s="31">
        <f t="shared" si="3"/>
        <v>0.02</v>
      </c>
      <c r="K5" s="31" t="str">
        <f t="shared" si="4"/>
        <v>Metaheurística</v>
      </c>
    </row>
    <row r="6">
      <c r="A6" s="30" t="s">
        <v>109</v>
      </c>
      <c r="B6" s="30" t="s">
        <v>53</v>
      </c>
      <c r="C6" s="29">
        <v>419.0</v>
      </c>
      <c r="D6" s="29">
        <v>0.1</v>
      </c>
      <c r="E6" s="30">
        <v>419.0</v>
      </c>
      <c r="F6" s="30">
        <v>0.26</v>
      </c>
      <c r="G6" s="30">
        <v>0.0</v>
      </c>
      <c r="H6" s="31">
        <f t="shared" si="1"/>
        <v>0</v>
      </c>
      <c r="I6" s="31" t="str">
        <f t="shared" si="2"/>
        <v>Igual</v>
      </c>
      <c r="J6" s="31">
        <f t="shared" si="3"/>
        <v>0.16</v>
      </c>
      <c r="K6" s="31" t="str">
        <f t="shared" si="4"/>
        <v>Metaheurística</v>
      </c>
    </row>
    <row r="7">
      <c r="A7" s="30" t="s">
        <v>85</v>
      </c>
      <c r="B7" s="30" t="s">
        <v>53</v>
      </c>
      <c r="C7" s="29">
        <v>363.0</v>
      </c>
      <c r="D7" s="29">
        <v>0.1</v>
      </c>
      <c r="E7" s="30">
        <v>363.0</v>
      </c>
      <c r="F7" s="30">
        <v>0.28</v>
      </c>
      <c r="G7" s="30">
        <v>0.0</v>
      </c>
      <c r="H7" s="31">
        <f t="shared" si="1"/>
        <v>0</v>
      </c>
      <c r="I7" s="31" t="str">
        <f t="shared" si="2"/>
        <v>Igual</v>
      </c>
      <c r="J7" s="31">
        <f t="shared" si="3"/>
        <v>0.18</v>
      </c>
      <c r="K7" s="31" t="str">
        <f t="shared" si="4"/>
        <v>Metaheurística</v>
      </c>
    </row>
    <row r="8">
      <c r="A8" s="30" t="s">
        <v>105</v>
      </c>
      <c r="B8" s="30" t="s">
        <v>53</v>
      </c>
      <c r="C8" s="29">
        <v>467.0</v>
      </c>
      <c r="D8" s="29">
        <v>0.2</v>
      </c>
      <c r="E8" s="30">
        <v>467.0</v>
      </c>
      <c r="F8" s="30">
        <v>1.09</v>
      </c>
      <c r="G8" s="30">
        <v>0.0</v>
      </c>
      <c r="H8" s="31">
        <f t="shared" si="1"/>
        <v>0</v>
      </c>
      <c r="I8" s="31" t="str">
        <f t="shared" si="2"/>
        <v>Igual</v>
      </c>
      <c r="J8" s="31">
        <f t="shared" si="3"/>
        <v>0.89</v>
      </c>
      <c r="K8" s="31" t="str">
        <f t="shared" si="4"/>
        <v>Metaheurística</v>
      </c>
    </row>
    <row r="9">
      <c r="A9" s="30" t="s">
        <v>126</v>
      </c>
      <c r="B9" s="30" t="s">
        <v>53</v>
      </c>
      <c r="C9" s="29">
        <v>513.0</v>
      </c>
      <c r="D9" s="29">
        <v>0.2</v>
      </c>
      <c r="E9" s="30">
        <v>513.0</v>
      </c>
      <c r="F9" s="30">
        <v>1483.41</v>
      </c>
      <c r="G9" s="30">
        <v>0.0</v>
      </c>
      <c r="H9" s="31">
        <f t="shared" si="1"/>
        <v>0</v>
      </c>
      <c r="I9" s="31" t="str">
        <f t="shared" si="2"/>
        <v>Igual</v>
      </c>
      <c r="J9" s="31">
        <f t="shared" si="3"/>
        <v>1483.21</v>
      </c>
      <c r="K9" s="31" t="str">
        <f t="shared" si="4"/>
        <v>Metaheurística</v>
      </c>
    </row>
    <row r="10">
      <c r="A10" s="30" t="s">
        <v>65</v>
      </c>
      <c r="B10" s="30" t="s">
        <v>53</v>
      </c>
      <c r="C10" s="29">
        <v>757.0</v>
      </c>
      <c r="D10" s="29">
        <v>0.2</v>
      </c>
      <c r="E10" s="30">
        <v>757.0</v>
      </c>
      <c r="F10" s="30">
        <v>779.79</v>
      </c>
      <c r="G10" s="30">
        <v>0.0</v>
      </c>
      <c r="H10" s="31">
        <f t="shared" si="1"/>
        <v>0</v>
      </c>
      <c r="I10" s="31" t="str">
        <f t="shared" si="2"/>
        <v>Igual</v>
      </c>
      <c r="J10" s="31">
        <f t="shared" si="3"/>
        <v>779.59</v>
      </c>
      <c r="K10" s="31" t="str">
        <f t="shared" si="4"/>
        <v>Metaheurística</v>
      </c>
    </row>
    <row r="11">
      <c r="A11" s="30" t="s">
        <v>114</v>
      </c>
      <c r="B11" s="30" t="s">
        <v>53</v>
      </c>
      <c r="C11" s="29">
        <v>881.0</v>
      </c>
      <c r="D11" s="29">
        <v>0.4</v>
      </c>
      <c r="E11" s="30">
        <v>881.0</v>
      </c>
      <c r="F11" s="30">
        <v>3600.02</v>
      </c>
      <c r="G11" s="32">
        <v>4.3133</v>
      </c>
      <c r="H11" s="31">
        <f t="shared" si="1"/>
        <v>0</v>
      </c>
      <c r="I11" s="31" t="str">
        <f t="shared" si="2"/>
        <v>Igual</v>
      </c>
      <c r="J11" s="31">
        <f t="shared" si="3"/>
        <v>3599.62</v>
      </c>
      <c r="K11" s="31" t="str">
        <f t="shared" si="4"/>
        <v>Metaheurística</v>
      </c>
    </row>
    <row r="12">
      <c r="A12" s="30" t="s">
        <v>69</v>
      </c>
      <c r="B12" s="30" t="s">
        <v>53</v>
      </c>
      <c r="C12" s="29">
        <v>1105.0</v>
      </c>
      <c r="D12" s="29">
        <v>0.6</v>
      </c>
      <c r="E12" s="30">
        <v>1105.0</v>
      </c>
      <c r="F12" s="30">
        <v>3600.02</v>
      </c>
      <c r="G12" s="32">
        <v>9.8643</v>
      </c>
      <c r="H12" s="31">
        <f t="shared" si="1"/>
        <v>0</v>
      </c>
      <c r="I12" s="31" t="str">
        <f t="shared" si="2"/>
        <v>Igual</v>
      </c>
      <c r="J12" s="31">
        <f t="shared" si="3"/>
        <v>3599.42</v>
      </c>
      <c r="K12" s="31" t="str">
        <f t="shared" si="4"/>
        <v>Metaheurística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30" t="s">
        <v>150</v>
      </c>
      <c r="B13" s="30" t="s">
        <v>53</v>
      </c>
      <c r="C13" s="29">
        <v>1302.0</v>
      </c>
      <c r="D13" s="29">
        <v>0.5</v>
      </c>
      <c r="E13" s="30">
        <v>1302.0</v>
      </c>
      <c r="F13" s="30">
        <v>3600.0</v>
      </c>
      <c r="G13" s="32">
        <v>9.1398</v>
      </c>
      <c r="H13" s="31">
        <f t="shared" si="1"/>
        <v>0</v>
      </c>
      <c r="I13" s="31" t="str">
        <f t="shared" si="2"/>
        <v>Igual</v>
      </c>
      <c r="J13" s="31">
        <f t="shared" si="3"/>
        <v>3599.5</v>
      </c>
      <c r="K13" s="31" t="str">
        <f t="shared" si="4"/>
        <v>Metaheurística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30" t="s">
        <v>123</v>
      </c>
      <c r="B14" s="30" t="s">
        <v>53</v>
      </c>
      <c r="C14" s="29">
        <v>1327.0</v>
      </c>
      <c r="D14" s="29">
        <v>1.3</v>
      </c>
      <c r="E14" s="30">
        <v>1327.0</v>
      </c>
      <c r="F14" s="30">
        <v>3600.02</v>
      </c>
      <c r="G14" s="32">
        <v>12.8109</v>
      </c>
      <c r="H14" s="31">
        <f t="shared" si="1"/>
        <v>0</v>
      </c>
      <c r="I14" s="31" t="str">
        <f t="shared" si="2"/>
        <v>Igual</v>
      </c>
      <c r="J14" s="31">
        <f t="shared" si="3"/>
        <v>3598.72</v>
      </c>
      <c r="K14" s="31" t="str">
        <f t="shared" si="4"/>
        <v>Metaheurística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30" t="s">
        <v>61</v>
      </c>
      <c r="B15" s="30" t="s">
        <v>53</v>
      </c>
      <c r="C15" s="29">
        <v>1196.0</v>
      </c>
      <c r="D15" s="29">
        <v>2.2</v>
      </c>
      <c r="E15" s="30">
        <v>1189.0</v>
      </c>
      <c r="F15" s="30">
        <v>3611.01</v>
      </c>
      <c r="G15" s="32">
        <v>20.6897</v>
      </c>
      <c r="H15" s="31">
        <f t="shared" si="1"/>
        <v>-7</v>
      </c>
      <c r="I15" s="31" t="str">
        <f t="shared" si="2"/>
        <v>Metaheurística</v>
      </c>
      <c r="J15" s="31">
        <f t="shared" si="3"/>
        <v>3608.81</v>
      </c>
      <c r="K15" s="31" t="str">
        <f t="shared" si="4"/>
        <v>Metaheurística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30" t="s">
        <v>100</v>
      </c>
      <c r="B16" s="30" t="s">
        <v>53</v>
      </c>
      <c r="C16" s="29">
        <v>1624.0</v>
      </c>
      <c r="D16" s="29">
        <v>2.2</v>
      </c>
      <c r="E16" s="30">
        <v>1611.0</v>
      </c>
      <c r="F16" s="30">
        <v>3600.04</v>
      </c>
      <c r="G16" s="32">
        <v>15.7666</v>
      </c>
      <c r="H16" s="31">
        <f t="shared" si="1"/>
        <v>-13</v>
      </c>
      <c r="I16" s="31" t="str">
        <f t="shared" si="2"/>
        <v>Metaheurística</v>
      </c>
      <c r="J16" s="31">
        <f t="shared" si="3"/>
        <v>3597.84</v>
      </c>
      <c r="K16" s="31" t="str">
        <f t="shared" si="4"/>
        <v>Metaheurística</v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30" t="s">
        <v>94</v>
      </c>
      <c r="B17" s="30" t="s">
        <v>53</v>
      </c>
      <c r="C17" s="29">
        <v>1802.0</v>
      </c>
      <c r="D17" s="29">
        <v>4.9</v>
      </c>
      <c r="E17" s="30">
        <v>1524.0</v>
      </c>
      <c r="F17" s="30">
        <v>3600.2</v>
      </c>
      <c r="G17" s="32">
        <v>468.1102</v>
      </c>
      <c r="H17" s="31">
        <f t="shared" si="1"/>
        <v>-278</v>
      </c>
      <c r="I17" s="31" t="str">
        <f t="shared" si="2"/>
        <v>Metaheurística</v>
      </c>
      <c r="J17" s="31">
        <f t="shared" si="3"/>
        <v>3595.3</v>
      </c>
      <c r="K17" s="31" t="str">
        <f t="shared" si="4"/>
        <v>Metaheurística</v>
      </c>
    </row>
    <row r="18">
      <c r="A18" s="29" t="s">
        <v>132</v>
      </c>
      <c r="B18" s="29" t="s">
        <v>53</v>
      </c>
      <c r="C18" s="29">
        <v>2213.0</v>
      </c>
      <c r="D18" s="29">
        <v>9.3</v>
      </c>
      <c r="E18" s="30">
        <v>1711.0</v>
      </c>
      <c r="F18" s="30">
        <v>3600.05</v>
      </c>
      <c r="G18" s="32">
        <v>493.2526</v>
      </c>
      <c r="H18" s="31">
        <f t="shared" si="1"/>
        <v>-502</v>
      </c>
      <c r="I18" s="31" t="str">
        <f t="shared" si="2"/>
        <v>Metaheurística</v>
      </c>
      <c r="J18" s="31">
        <f t="shared" si="3"/>
        <v>3590.75</v>
      </c>
      <c r="K18" s="31" t="str">
        <f t="shared" si="4"/>
        <v>Metaheurística</v>
      </c>
    </row>
    <row r="19" hidden="1">
      <c r="A19" s="30" t="s">
        <v>125</v>
      </c>
      <c r="B19" s="30" t="s">
        <v>45</v>
      </c>
      <c r="C19" s="29">
        <v>13.0</v>
      </c>
      <c r="D19" s="29">
        <v>0.0</v>
      </c>
      <c r="E19" s="30">
        <v>13.0</v>
      </c>
      <c r="F19" s="30">
        <v>0.01</v>
      </c>
      <c r="G19" s="30">
        <v>0.0</v>
      </c>
      <c r="H19" s="31">
        <f t="shared" si="1"/>
        <v>0</v>
      </c>
      <c r="I19" s="31" t="str">
        <f t="shared" si="2"/>
        <v>Igual</v>
      </c>
      <c r="J19" s="31">
        <f t="shared" si="3"/>
        <v>0.01</v>
      </c>
      <c r="K19" s="31" t="str">
        <f t="shared" si="4"/>
        <v>Metaheurística</v>
      </c>
    </row>
    <row r="20" hidden="1">
      <c r="A20" s="30" t="s">
        <v>111</v>
      </c>
      <c r="B20" s="30" t="s">
        <v>45</v>
      </c>
      <c r="C20" s="29">
        <v>12.0</v>
      </c>
      <c r="D20" s="29">
        <v>0.0</v>
      </c>
      <c r="E20" s="30">
        <v>12.0</v>
      </c>
      <c r="F20" s="30">
        <v>0.0</v>
      </c>
      <c r="G20" s="30">
        <v>0.0</v>
      </c>
      <c r="H20" s="31">
        <f t="shared" si="1"/>
        <v>0</v>
      </c>
      <c r="I20" s="31" t="str">
        <f t="shared" si="2"/>
        <v>Igual</v>
      </c>
      <c r="J20" s="31">
        <f t="shared" si="3"/>
        <v>0</v>
      </c>
      <c r="K20" s="31" t="str">
        <f t="shared" si="4"/>
        <v>Igual</v>
      </c>
    </row>
    <row r="21" hidden="1">
      <c r="A21" s="30" t="s">
        <v>133</v>
      </c>
      <c r="B21" s="30" t="s">
        <v>45</v>
      </c>
      <c r="C21" s="29">
        <v>13.0</v>
      </c>
      <c r="D21" s="29">
        <v>0.0</v>
      </c>
      <c r="E21" s="30">
        <v>13.0</v>
      </c>
      <c r="F21" s="30">
        <v>0.0</v>
      </c>
      <c r="G21" s="30">
        <v>0.0</v>
      </c>
      <c r="H21" s="31">
        <f t="shared" si="1"/>
        <v>0</v>
      </c>
      <c r="I21" s="31" t="str">
        <f t="shared" si="2"/>
        <v>Igual</v>
      </c>
      <c r="J21" s="31">
        <f t="shared" si="3"/>
        <v>0</v>
      </c>
      <c r="K21" s="31" t="str">
        <f t="shared" si="4"/>
        <v>Igual</v>
      </c>
    </row>
    <row r="22" hidden="1">
      <c r="A22" s="30" t="s">
        <v>124</v>
      </c>
      <c r="B22" s="30" t="s">
        <v>45</v>
      </c>
      <c r="C22" s="29">
        <v>13.0</v>
      </c>
      <c r="D22" s="29">
        <v>0.0</v>
      </c>
      <c r="E22" s="30">
        <v>13.0</v>
      </c>
      <c r="F22" s="30">
        <v>0.01</v>
      </c>
      <c r="G22" s="30">
        <v>0.0</v>
      </c>
      <c r="H22" s="31">
        <f t="shared" si="1"/>
        <v>0</v>
      </c>
      <c r="I22" s="31" t="str">
        <f t="shared" si="2"/>
        <v>Igual</v>
      </c>
      <c r="J22" s="31">
        <f t="shared" si="3"/>
        <v>0.01</v>
      </c>
      <c r="K22" s="31" t="str">
        <f t="shared" si="4"/>
        <v>Metaheurística</v>
      </c>
    </row>
    <row r="23" hidden="1">
      <c r="A23" s="30" t="s">
        <v>49</v>
      </c>
      <c r="B23" s="30" t="s">
        <v>45</v>
      </c>
      <c r="C23" s="29">
        <v>20.0</v>
      </c>
      <c r="D23" s="29">
        <v>0.0</v>
      </c>
      <c r="E23" s="30">
        <v>20.0</v>
      </c>
      <c r="F23" s="30">
        <v>0.01</v>
      </c>
      <c r="G23" s="30">
        <v>0.0</v>
      </c>
      <c r="H23" s="31">
        <f t="shared" si="1"/>
        <v>0</v>
      </c>
      <c r="I23" s="31" t="str">
        <f t="shared" si="2"/>
        <v>Igual</v>
      </c>
      <c r="J23" s="31">
        <f t="shared" si="3"/>
        <v>0.01</v>
      </c>
      <c r="K23" s="31" t="str">
        <f t="shared" si="4"/>
        <v>Metaheurística</v>
      </c>
    </row>
    <row r="24" hidden="1">
      <c r="A24" s="30" t="s">
        <v>130</v>
      </c>
      <c r="B24" s="30" t="s">
        <v>45</v>
      </c>
      <c r="C24" s="29">
        <v>20.0</v>
      </c>
      <c r="D24" s="29">
        <v>0.1</v>
      </c>
      <c r="E24" s="30">
        <v>20.0</v>
      </c>
      <c r="F24" s="30">
        <v>0.01</v>
      </c>
      <c r="G24" s="30">
        <v>0.0</v>
      </c>
      <c r="H24" s="31">
        <f t="shared" si="1"/>
        <v>0</v>
      </c>
      <c r="I24" s="31" t="str">
        <f t="shared" si="2"/>
        <v>Igual</v>
      </c>
      <c r="J24" s="31">
        <f t="shared" si="3"/>
        <v>-0.09</v>
      </c>
      <c r="K24" s="31" t="str">
        <f t="shared" si="4"/>
        <v>Gurobi</v>
      </c>
    </row>
    <row r="25" hidden="1">
      <c r="A25" s="30" t="s">
        <v>140</v>
      </c>
      <c r="B25" s="30" t="s">
        <v>45</v>
      </c>
      <c r="C25" s="29">
        <v>18.0</v>
      </c>
      <c r="D25" s="29">
        <v>0.1</v>
      </c>
      <c r="E25" s="30">
        <v>18.0</v>
      </c>
      <c r="F25" s="30">
        <v>0.07</v>
      </c>
      <c r="G25" s="30">
        <v>0.0</v>
      </c>
      <c r="H25" s="31">
        <f t="shared" si="1"/>
        <v>0</v>
      </c>
      <c r="I25" s="31" t="str">
        <f t="shared" si="2"/>
        <v>Igual</v>
      </c>
      <c r="J25" s="31">
        <f t="shared" si="3"/>
        <v>-0.03</v>
      </c>
      <c r="K25" s="31" t="str">
        <f t="shared" si="4"/>
        <v>Gurobi</v>
      </c>
    </row>
    <row r="26" hidden="1">
      <c r="A26" s="30" t="s">
        <v>60</v>
      </c>
      <c r="B26" s="30" t="s">
        <v>45</v>
      </c>
      <c r="C26" s="29">
        <v>19.0</v>
      </c>
      <c r="D26" s="29">
        <v>0.1</v>
      </c>
      <c r="E26" s="30">
        <v>19.0</v>
      </c>
      <c r="F26" s="30">
        <v>0.01</v>
      </c>
      <c r="G26" s="30">
        <v>0.0</v>
      </c>
      <c r="H26" s="31">
        <f t="shared" si="1"/>
        <v>0</v>
      </c>
      <c r="I26" s="31" t="str">
        <f t="shared" si="2"/>
        <v>Igual</v>
      </c>
      <c r="J26" s="31">
        <f t="shared" si="3"/>
        <v>-0.09</v>
      </c>
      <c r="K26" s="31" t="str">
        <f t="shared" si="4"/>
        <v>Gurobi</v>
      </c>
    </row>
    <row r="27" hidden="1">
      <c r="A27" s="30" t="s">
        <v>59</v>
      </c>
      <c r="B27" s="30" t="s">
        <v>45</v>
      </c>
      <c r="C27" s="29">
        <v>23.0</v>
      </c>
      <c r="D27" s="29">
        <v>0.1</v>
      </c>
      <c r="E27" s="30">
        <v>23.0</v>
      </c>
      <c r="F27" s="30">
        <v>0.02</v>
      </c>
      <c r="G27" s="30">
        <v>0.0</v>
      </c>
      <c r="H27" s="31">
        <f t="shared" si="1"/>
        <v>0</v>
      </c>
      <c r="I27" s="31" t="str">
        <f t="shared" si="2"/>
        <v>Igual</v>
      </c>
      <c r="J27" s="31">
        <f t="shared" si="3"/>
        <v>-0.08</v>
      </c>
      <c r="K27" s="31" t="str">
        <f t="shared" si="4"/>
        <v>Gurobi</v>
      </c>
    </row>
    <row r="28" hidden="1">
      <c r="A28" s="30" t="s">
        <v>50</v>
      </c>
      <c r="B28" s="30" t="s">
        <v>45</v>
      </c>
      <c r="C28" s="29">
        <v>22.0</v>
      </c>
      <c r="D28" s="29">
        <v>0.1</v>
      </c>
      <c r="E28" s="30">
        <v>22.0</v>
      </c>
      <c r="F28" s="30">
        <v>0.01</v>
      </c>
      <c r="G28" s="30">
        <v>0.0</v>
      </c>
      <c r="H28" s="31">
        <f t="shared" si="1"/>
        <v>0</v>
      </c>
      <c r="I28" s="31" t="str">
        <f t="shared" si="2"/>
        <v>Igual</v>
      </c>
      <c r="J28" s="31">
        <f t="shared" si="3"/>
        <v>-0.09</v>
      </c>
      <c r="K28" s="31" t="str">
        <f t="shared" si="4"/>
        <v>Gurobi</v>
      </c>
    </row>
    <row r="29" hidden="1">
      <c r="A29" s="30" t="s">
        <v>95</v>
      </c>
      <c r="B29" s="30" t="s">
        <v>45</v>
      </c>
      <c r="C29" s="29">
        <v>34.0</v>
      </c>
      <c r="D29" s="29">
        <v>0.1</v>
      </c>
      <c r="E29" s="30">
        <v>34.0</v>
      </c>
      <c r="F29" s="30">
        <v>0.14</v>
      </c>
      <c r="G29" s="30">
        <v>0.0</v>
      </c>
      <c r="H29" s="31">
        <f t="shared" si="1"/>
        <v>0</v>
      </c>
      <c r="I29" s="31" t="str">
        <f t="shared" si="2"/>
        <v>Igual</v>
      </c>
      <c r="J29" s="31">
        <f t="shared" si="3"/>
        <v>0.04</v>
      </c>
      <c r="K29" s="31" t="str">
        <f t="shared" si="4"/>
        <v>Metaheurística</v>
      </c>
    </row>
    <row r="30" hidden="1">
      <c r="A30" s="30" t="s">
        <v>73</v>
      </c>
      <c r="B30" s="30" t="s">
        <v>45</v>
      </c>
      <c r="C30" s="29">
        <v>31.0</v>
      </c>
      <c r="D30" s="29">
        <v>0.1</v>
      </c>
      <c r="E30" s="30">
        <v>31.0</v>
      </c>
      <c r="F30" s="30">
        <v>0.11</v>
      </c>
      <c r="G30" s="30">
        <v>0.0</v>
      </c>
      <c r="H30" s="31">
        <f t="shared" si="1"/>
        <v>0</v>
      </c>
      <c r="I30" s="31" t="str">
        <f t="shared" si="2"/>
        <v>Igual</v>
      </c>
      <c r="J30" s="31">
        <f t="shared" si="3"/>
        <v>0.01</v>
      </c>
      <c r="K30" s="31" t="str">
        <f t="shared" si="4"/>
        <v>Metaheurística</v>
      </c>
    </row>
    <row r="31" hidden="1">
      <c r="A31" s="30" t="s">
        <v>46</v>
      </c>
      <c r="B31" s="30" t="s">
        <v>45</v>
      </c>
      <c r="C31" s="29">
        <v>25.0</v>
      </c>
      <c r="D31" s="29">
        <v>0.1</v>
      </c>
      <c r="E31" s="30">
        <v>25.0</v>
      </c>
      <c r="F31" s="30">
        <v>0.06</v>
      </c>
      <c r="G31" s="30">
        <v>0.0</v>
      </c>
      <c r="H31" s="31">
        <f t="shared" si="1"/>
        <v>0</v>
      </c>
      <c r="I31" s="31" t="str">
        <f t="shared" si="2"/>
        <v>Igual</v>
      </c>
      <c r="J31" s="31">
        <f t="shared" si="3"/>
        <v>-0.04</v>
      </c>
      <c r="K31" s="31" t="str">
        <f t="shared" si="4"/>
        <v>Gurobi</v>
      </c>
    </row>
    <row r="32" hidden="1">
      <c r="A32" s="30" t="s">
        <v>103</v>
      </c>
      <c r="B32" s="30" t="s">
        <v>45</v>
      </c>
      <c r="C32" s="29">
        <v>26.0</v>
      </c>
      <c r="D32" s="29">
        <v>0.1</v>
      </c>
      <c r="E32" s="30">
        <v>26.0</v>
      </c>
      <c r="F32" s="30">
        <v>0.27</v>
      </c>
      <c r="G32" s="30">
        <v>0.0</v>
      </c>
      <c r="H32" s="31">
        <f t="shared" si="1"/>
        <v>0</v>
      </c>
      <c r="I32" s="31" t="str">
        <f t="shared" si="2"/>
        <v>Igual</v>
      </c>
      <c r="J32" s="31">
        <f t="shared" si="3"/>
        <v>0.17</v>
      </c>
      <c r="K32" s="31" t="str">
        <f t="shared" si="4"/>
        <v>Metaheurística</v>
      </c>
    </row>
    <row r="33" hidden="1">
      <c r="A33" s="30" t="s">
        <v>131</v>
      </c>
      <c r="B33" s="30" t="s">
        <v>45</v>
      </c>
      <c r="C33" s="29">
        <v>35.0</v>
      </c>
      <c r="D33" s="29">
        <v>0.1</v>
      </c>
      <c r="E33" s="30">
        <v>35.0</v>
      </c>
      <c r="F33" s="30">
        <v>0.2</v>
      </c>
      <c r="G33" s="30">
        <v>0.0</v>
      </c>
      <c r="H33" s="31">
        <f t="shared" si="1"/>
        <v>0</v>
      </c>
      <c r="I33" s="31" t="str">
        <f t="shared" si="2"/>
        <v>Igual</v>
      </c>
      <c r="J33" s="31">
        <f t="shared" si="3"/>
        <v>0.1</v>
      </c>
      <c r="K33" s="31" t="str">
        <f t="shared" si="4"/>
        <v>Metaheurística</v>
      </c>
    </row>
    <row r="34" hidden="1">
      <c r="A34" s="30" t="s">
        <v>115</v>
      </c>
      <c r="B34" s="30" t="s">
        <v>45</v>
      </c>
      <c r="C34" s="29">
        <v>34.0</v>
      </c>
      <c r="D34" s="29">
        <v>0.2</v>
      </c>
      <c r="E34" s="30">
        <v>34.0</v>
      </c>
      <c r="F34" s="30">
        <v>0.27</v>
      </c>
      <c r="G34" s="30">
        <v>0.0</v>
      </c>
      <c r="H34" s="31">
        <f t="shared" si="1"/>
        <v>0</v>
      </c>
      <c r="I34" s="31" t="str">
        <f t="shared" si="2"/>
        <v>Igual</v>
      </c>
      <c r="J34" s="31">
        <f t="shared" si="3"/>
        <v>0.07</v>
      </c>
      <c r="K34" s="31" t="str">
        <f t="shared" si="4"/>
        <v>Metaheurística</v>
      </c>
    </row>
    <row r="35" hidden="1">
      <c r="A35" s="30" t="s">
        <v>71</v>
      </c>
      <c r="B35" s="30" t="s">
        <v>45</v>
      </c>
      <c r="C35" s="29">
        <v>44.0</v>
      </c>
      <c r="D35" s="29">
        <v>0.2</v>
      </c>
      <c r="E35" s="30">
        <v>44.0</v>
      </c>
      <c r="F35" s="30">
        <v>0.9</v>
      </c>
      <c r="G35" s="30">
        <v>0.0</v>
      </c>
      <c r="H35" s="31">
        <f t="shared" si="1"/>
        <v>0</v>
      </c>
      <c r="I35" s="31" t="str">
        <f t="shared" si="2"/>
        <v>Igual</v>
      </c>
      <c r="J35" s="31">
        <f t="shared" si="3"/>
        <v>0.7</v>
      </c>
      <c r="K35" s="31" t="str">
        <f t="shared" si="4"/>
        <v>Metaheurística</v>
      </c>
    </row>
    <row r="36" hidden="1">
      <c r="A36" s="30" t="s">
        <v>87</v>
      </c>
      <c r="B36" s="30" t="s">
        <v>45</v>
      </c>
      <c r="C36" s="29">
        <v>41.0</v>
      </c>
      <c r="D36" s="29">
        <v>0.2</v>
      </c>
      <c r="E36" s="30">
        <v>41.0</v>
      </c>
      <c r="F36" s="30">
        <v>0.32</v>
      </c>
      <c r="G36" s="30">
        <v>0.0</v>
      </c>
      <c r="H36" s="31">
        <f t="shared" si="1"/>
        <v>0</v>
      </c>
      <c r="I36" s="31" t="str">
        <f t="shared" si="2"/>
        <v>Igual</v>
      </c>
      <c r="J36" s="31">
        <f t="shared" si="3"/>
        <v>0.12</v>
      </c>
      <c r="K36" s="31" t="str">
        <f t="shared" si="4"/>
        <v>Metaheurística</v>
      </c>
    </row>
    <row r="37" hidden="1">
      <c r="A37" s="30" t="s">
        <v>44</v>
      </c>
      <c r="B37" s="30" t="s">
        <v>45</v>
      </c>
      <c r="C37" s="29">
        <v>43.0</v>
      </c>
      <c r="D37" s="29">
        <v>0.2</v>
      </c>
      <c r="E37" s="30">
        <v>43.0</v>
      </c>
      <c r="F37" s="30">
        <v>0.65</v>
      </c>
      <c r="G37" s="30">
        <v>0.0</v>
      </c>
      <c r="H37" s="31">
        <f t="shared" si="1"/>
        <v>0</v>
      </c>
      <c r="I37" s="31" t="str">
        <f t="shared" si="2"/>
        <v>Igual</v>
      </c>
      <c r="J37" s="31">
        <f t="shared" si="3"/>
        <v>0.45</v>
      </c>
      <c r="K37" s="31" t="str">
        <f t="shared" si="4"/>
        <v>Metaheurística</v>
      </c>
    </row>
    <row r="38" hidden="1">
      <c r="A38" s="30" t="s">
        <v>134</v>
      </c>
      <c r="B38" s="30" t="s">
        <v>45</v>
      </c>
      <c r="C38" s="29">
        <v>45.0</v>
      </c>
      <c r="D38" s="29">
        <v>0.2</v>
      </c>
      <c r="E38" s="30">
        <v>45.0</v>
      </c>
      <c r="F38" s="30">
        <v>0.55</v>
      </c>
      <c r="G38" s="30">
        <v>0.0</v>
      </c>
      <c r="H38" s="31">
        <f t="shared" si="1"/>
        <v>0</v>
      </c>
      <c r="I38" s="31" t="str">
        <f t="shared" si="2"/>
        <v>Igual</v>
      </c>
      <c r="J38" s="31">
        <f t="shared" si="3"/>
        <v>0.35</v>
      </c>
      <c r="K38" s="31" t="str">
        <f t="shared" si="4"/>
        <v>Metaheurística</v>
      </c>
    </row>
    <row r="39" hidden="1">
      <c r="A39" s="30" t="s">
        <v>153</v>
      </c>
      <c r="B39" s="30" t="s">
        <v>45</v>
      </c>
      <c r="C39" s="29">
        <v>54.0</v>
      </c>
      <c r="D39" s="29">
        <v>0.2</v>
      </c>
      <c r="E39" s="30">
        <v>54.0</v>
      </c>
      <c r="F39" s="30">
        <v>7.47</v>
      </c>
      <c r="G39" s="30">
        <v>0.0</v>
      </c>
      <c r="H39" s="31">
        <f t="shared" si="1"/>
        <v>0</v>
      </c>
      <c r="I39" s="31" t="str">
        <f t="shared" si="2"/>
        <v>Igual</v>
      </c>
      <c r="J39" s="31">
        <f t="shared" si="3"/>
        <v>7.27</v>
      </c>
      <c r="K39" s="31" t="str">
        <f t="shared" si="4"/>
        <v>Metaheurística</v>
      </c>
    </row>
    <row r="40" hidden="1">
      <c r="A40" s="30" t="s">
        <v>51</v>
      </c>
      <c r="B40" s="30" t="s">
        <v>45</v>
      </c>
      <c r="C40" s="29">
        <v>59.0</v>
      </c>
      <c r="D40" s="29">
        <v>0.2</v>
      </c>
      <c r="E40" s="30">
        <v>59.0</v>
      </c>
      <c r="F40" s="30">
        <v>7.86</v>
      </c>
      <c r="G40" s="30">
        <v>0.0</v>
      </c>
      <c r="H40" s="31">
        <f t="shared" si="1"/>
        <v>0</v>
      </c>
      <c r="I40" s="31" t="str">
        <f t="shared" si="2"/>
        <v>Igual</v>
      </c>
      <c r="J40" s="31">
        <f t="shared" si="3"/>
        <v>7.66</v>
      </c>
      <c r="K40" s="31" t="str">
        <f t="shared" si="4"/>
        <v>Metaheurística</v>
      </c>
    </row>
    <row r="41" hidden="1">
      <c r="A41" s="30" t="s">
        <v>96</v>
      </c>
      <c r="B41" s="30" t="s">
        <v>45</v>
      </c>
      <c r="C41" s="29">
        <v>64.0</v>
      </c>
      <c r="D41" s="29">
        <v>0.2</v>
      </c>
      <c r="E41" s="30">
        <v>64.0</v>
      </c>
      <c r="F41" s="30">
        <v>6.17</v>
      </c>
      <c r="G41" s="30">
        <v>0.0</v>
      </c>
      <c r="H41" s="31">
        <f t="shared" si="1"/>
        <v>0</v>
      </c>
      <c r="I41" s="31" t="str">
        <f t="shared" si="2"/>
        <v>Igual</v>
      </c>
      <c r="J41" s="31">
        <f t="shared" si="3"/>
        <v>5.97</v>
      </c>
      <c r="K41" s="31" t="str">
        <f t="shared" si="4"/>
        <v>Metaheurística</v>
      </c>
    </row>
    <row r="42" hidden="1">
      <c r="A42" s="30" t="s">
        <v>106</v>
      </c>
      <c r="B42" s="30" t="s">
        <v>45</v>
      </c>
      <c r="C42" s="29">
        <v>62.0</v>
      </c>
      <c r="D42" s="29">
        <v>0.2</v>
      </c>
      <c r="E42" s="30">
        <v>62.0</v>
      </c>
      <c r="F42" s="30">
        <v>8.08</v>
      </c>
      <c r="G42" s="30">
        <v>0.0</v>
      </c>
      <c r="H42" s="31">
        <f t="shared" si="1"/>
        <v>0</v>
      </c>
      <c r="I42" s="31" t="str">
        <f t="shared" si="2"/>
        <v>Igual</v>
      </c>
      <c r="J42" s="31">
        <f t="shared" si="3"/>
        <v>7.88</v>
      </c>
      <c r="K42" s="31" t="str">
        <f t="shared" si="4"/>
        <v>Metaheurística</v>
      </c>
    </row>
    <row r="43" hidden="1">
      <c r="A43" s="30" t="s">
        <v>91</v>
      </c>
      <c r="B43" s="30" t="s">
        <v>45</v>
      </c>
      <c r="C43" s="29">
        <v>58.0</v>
      </c>
      <c r="D43" s="29">
        <v>0.2</v>
      </c>
      <c r="E43" s="30">
        <v>58.0</v>
      </c>
      <c r="F43" s="30">
        <v>11.14</v>
      </c>
      <c r="G43" s="30">
        <v>0.0</v>
      </c>
      <c r="H43" s="31">
        <f t="shared" si="1"/>
        <v>0</v>
      </c>
      <c r="I43" s="31" t="str">
        <f t="shared" si="2"/>
        <v>Igual</v>
      </c>
      <c r="J43" s="31">
        <f t="shared" si="3"/>
        <v>10.94</v>
      </c>
      <c r="K43" s="31" t="str">
        <f t="shared" si="4"/>
        <v>Metaheurística</v>
      </c>
    </row>
    <row r="44" hidden="1">
      <c r="A44" s="30" t="s">
        <v>66</v>
      </c>
      <c r="B44" s="30" t="s">
        <v>45</v>
      </c>
      <c r="C44" s="29">
        <v>88.0</v>
      </c>
      <c r="D44" s="29">
        <v>0.4</v>
      </c>
      <c r="E44" s="30">
        <v>88.0</v>
      </c>
      <c r="F44" s="30">
        <v>760.32</v>
      </c>
      <c r="G44" s="30">
        <v>0.0</v>
      </c>
      <c r="H44" s="31">
        <f t="shared" si="1"/>
        <v>0</v>
      </c>
      <c r="I44" s="31" t="str">
        <f t="shared" si="2"/>
        <v>Igual</v>
      </c>
      <c r="J44" s="31">
        <f t="shared" si="3"/>
        <v>759.92</v>
      </c>
      <c r="K44" s="31" t="str">
        <f t="shared" si="4"/>
        <v>Metaheurística</v>
      </c>
    </row>
    <row r="45" hidden="1">
      <c r="A45" s="30" t="s">
        <v>75</v>
      </c>
      <c r="B45" s="30" t="s">
        <v>45</v>
      </c>
      <c r="C45" s="29">
        <v>82.0</v>
      </c>
      <c r="D45" s="29">
        <v>0.4</v>
      </c>
      <c r="E45" s="30">
        <v>82.0</v>
      </c>
      <c r="F45" s="30">
        <v>2757.88</v>
      </c>
      <c r="G45" s="30">
        <v>0.0</v>
      </c>
      <c r="H45" s="31">
        <f t="shared" si="1"/>
        <v>0</v>
      </c>
      <c r="I45" s="31" t="str">
        <f t="shared" si="2"/>
        <v>Igual</v>
      </c>
      <c r="J45" s="31">
        <f t="shared" si="3"/>
        <v>2757.48</v>
      </c>
      <c r="K45" s="31" t="str">
        <f t="shared" si="4"/>
        <v>Metaheurística</v>
      </c>
    </row>
    <row r="46" hidden="1">
      <c r="A46" s="30" t="s">
        <v>58</v>
      </c>
      <c r="B46" s="30" t="s">
        <v>45</v>
      </c>
      <c r="C46" s="29">
        <v>91.0</v>
      </c>
      <c r="D46" s="29">
        <v>0.4</v>
      </c>
      <c r="E46" s="30">
        <v>91.0</v>
      </c>
      <c r="F46" s="30">
        <v>1987.99</v>
      </c>
      <c r="G46" s="30">
        <v>0.0</v>
      </c>
      <c r="H46" s="31">
        <f t="shared" si="1"/>
        <v>0</v>
      </c>
      <c r="I46" s="31" t="str">
        <f t="shared" si="2"/>
        <v>Igual</v>
      </c>
      <c r="J46" s="31">
        <f t="shared" si="3"/>
        <v>1987.59</v>
      </c>
      <c r="K46" s="31" t="str">
        <f t="shared" si="4"/>
        <v>Metaheurística</v>
      </c>
    </row>
    <row r="47" hidden="1">
      <c r="A47" s="30" t="s">
        <v>108</v>
      </c>
      <c r="B47" s="30" t="s">
        <v>45</v>
      </c>
      <c r="C47" s="29">
        <v>93.0</v>
      </c>
      <c r="D47" s="29">
        <v>0.4</v>
      </c>
      <c r="E47" s="30">
        <v>93.0</v>
      </c>
      <c r="F47" s="30">
        <v>3600.01</v>
      </c>
      <c r="G47" s="32">
        <v>6.4516</v>
      </c>
      <c r="H47" s="31">
        <f t="shared" si="1"/>
        <v>0</v>
      </c>
      <c r="I47" s="31" t="str">
        <f t="shared" si="2"/>
        <v>Igual</v>
      </c>
      <c r="J47" s="31">
        <f t="shared" si="3"/>
        <v>3599.61</v>
      </c>
      <c r="K47" s="31" t="str">
        <f t="shared" si="4"/>
        <v>Metaheurística</v>
      </c>
    </row>
    <row r="48" hidden="1">
      <c r="A48" s="30" t="s">
        <v>122</v>
      </c>
      <c r="B48" s="30" t="s">
        <v>45</v>
      </c>
      <c r="C48" s="29">
        <v>92.0</v>
      </c>
      <c r="D48" s="29">
        <v>0.4</v>
      </c>
      <c r="E48" s="30">
        <v>92.0</v>
      </c>
      <c r="F48" s="30">
        <v>33.44</v>
      </c>
      <c r="G48" s="30">
        <v>0.0</v>
      </c>
      <c r="H48" s="31">
        <f t="shared" si="1"/>
        <v>0</v>
      </c>
      <c r="I48" s="31" t="str">
        <f t="shared" si="2"/>
        <v>Igual</v>
      </c>
      <c r="J48" s="31">
        <f t="shared" si="3"/>
        <v>33.04</v>
      </c>
      <c r="K48" s="31" t="str">
        <f t="shared" si="4"/>
        <v>Metaheurística</v>
      </c>
    </row>
    <row r="49" hidden="1">
      <c r="A49" s="30" t="s">
        <v>88</v>
      </c>
      <c r="B49" s="30" t="s">
        <v>45</v>
      </c>
      <c r="C49" s="29">
        <v>115.0</v>
      </c>
      <c r="D49" s="29">
        <v>0.6</v>
      </c>
      <c r="E49" s="30">
        <v>115.0</v>
      </c>
      <c r="F49" s="30">
        <v>3600.01</v>
      </c>
      <c r="G49" s="32">
        <v>8.6957</v>
      </c>
      <c r="H49" s="31">
        <f t="shared" si="1"/>
        <v>0</v>
      </c>
      <c r="I49" s="31" t="str">
        <f t="shared" si="2"/>
        <v>Igual</v>
      </c>
      <c r="J49" s="31">
        <f t="shared" si="3"/>
        <v>3599.41</v>
      </c>
      <c r="K49" s="31" t="str">
        <f t="shared" si="4"/>
        <v>Metaheurística</v>
      </c>
    </row>
    <row r="50" hidden="1">
      <c r="A50" s="30" t="s">
        <v>135</v>
      </c>
      <c r="B50" s="30" t="s">
        <v>45</v>
      </c>
      <c r="C50" s="29">
        <v>124.0</v>
      </c>
      <c r="D50" s="29">
        <v>0.6</v>
      </c>
      <c r="E50" s="30">
        <v>124.0</v>
      </c>
      <c r="F50" s="30">
        <v>3600.01</v>
      </c>
      <c r="G50" s="32">
        <v>12.9032</v>
      </c>
      <c r="H50" s="31">
        <f t="shared" si="1"/>
        <v>0</v>
      </c>
      <c r="I50" s="31" t="str">
        <f t="shared" si="2"/>
        <v>Igual</v>
      </c>
      <c r="J50" s="31">
        <f t="shared" si="3"/>
        <v>3599.41</v>
      </c>
      <c r="K50" s="31" t="str">
        <f t="shared" si="4"/>
        <v>Metaheurística</v>
      </c>
    </row>
    <row r="51" hidden="1">
      <c r="A51" s="30" t="s">
        <v>54</v>
      </c>
      <c r="B51" s="30" t="s">
        <v>45</v>
      </c>
      <c r="C51" s="29">
        <v>122.0</v>
      </c>
      <c r="D51" s="29">
        <v>0.6</v>
      </c>
      <c r="E51" s="30">
        <v>122.0</v>
      </c>
      <c r="F51" s="30">
        <v>3600.01</v>
      </c>
      <c r="G51" s="32">
        <v>7.377</v>
      </c>
      <c r="H51" s="31">
        <f t="shared" si="1"/>
        <v>0</v>
      </c>
      <c r="I51" s="31" t="str">
        <f t="shared" si="2"/>
        <v>Igual</v>
      </c>
      <c r="J51" s="31">
        <f t="shared" si="3"/>
        <v>3599.41</v>
      </c>
      <c r="K51" s="31" t="str">
        <f t="shared" si="4"/>
        <v>Metaheurística</v>
      </c>
    </row>
    <row r="52" hidden="1">
      <c r="A52" s="30" t="s">
        <v>148</v>
      </c>
      <c r="B52" s="30" t="s">
        <v>45</v>
      </c>
      <c r="C52" s="29">
        <v>118.0</v>
      </c>
      <c r="D52" s="29">
        <v>0.7</v>
      </c>
      <c r="E52" s="30">
        <v>116.0</v>
      </c>
      <c r="F52" s="30">
        <v>3600.01</v>
      </c>
      <c r="G52" s="32">
        <v>28.4483</v>
      </c>
      <c r="H52" s="31">
        <f t="shared" si="1"/>
        <v>-2</v>
      </c>
      <c r="I52" s="31" t="str">
        <f t="shared" si="2"/>
        <v>Metaheurística</v>
      </c>
      <c r="J52" s="31">
        <f t="shared" si="3"/>
        <v>3599.31</v>
      </c>
      <c r="K52" s="31" t="str">
        <f t="shared" si="4"/>
        <v>Metaheurística</v>
      </c>
    </row>
    <row r="53" hidden="1">
      <c r="A53" s="30" t="s">
        <v>76</v>
      </c>
      <c r="B53" s="30" t="s">
        <v>45</v>
      </c>
      <c r="C53" s="29">
        <v>127.0</v>
      </c>
      <c r="D53" s="29">
        <v>0.6</v>
      </c>
      <c r="E53" s="30">
        <v>127.0</v>
      </c>
      <c r="F53" s="30">
        <v>3600.01</v>
      </c>
      <c r="G53" s="32">
        <v>6.2992</v>
      </c>
      <c r="H53" s="31">
        <f t="shared" si="1"/>
        <v>0</v>
      </c>
      <c r="I53" s="31" t="str">
        <f t="shared" si="2"/>
        <v>Igual</v>
      </c>
      <c r="J53" s="31">
        <f t="shared" si="3"/>
        <v>3599.41</v>
      </c>
      <c r="K53" s="31" t="str">
        <f t="shared" si="4"/>
        <v>Metaheurística</v>
      </c>
    </row>
    <row r="54" hidden="1">
      <c r="A54" s="30" t="s">
        <v>62</v>
      </c>
      <c r="B54" s="30" t="s">
        <v>45</v>
      </c>
      <c r="C54" s="29">
        <v>222.0</v>
      </c>
      <c r="D54" s="29">
        <v>1.3</v>
      </c>
      <c r="E54" s="30">
        <v>215.0</v>
      </c>
      <c r="F54" s="30">
        <v>3600.02</v>
      </c>
      <c r="G54" s="32">
        <v>29.7674</v>
      </c>
      <c r="H54" s="31">
        <f t="shared" si="1"/>
        <v>-7</v>
      </c>
      <c r="I54" s="31" t="str">
        <f t="shared" si="2"/>
        <v>Metaheurística</v>
      </c>
      <c r="J54" s="31">
        <f t="shared" si="3"/>
        <v>3598.72</v>
      </c>
      <c r="K54" s="31" t="str">
        <f t="shared" si="4"/>
        <v>Metaheurística</v>
      </c>
    </row>
    <row r="55" hidden="1">
      <c r="A55" s="30" t="s">
        <v>72</v>
      </c>
      <c r="B55" s="30" t="s">
        <v>45</v>
      </c>
      <c r="C55" s="29">
        <v>192.0</v>
      </c>
      <c r="D55" s="29">
        <v>1.3</v>
      </c>
      <c r="E55" s="30">
        <v>184.0</v>
      </c>
      <c r="F55" s="30">
        <v>3600.01</v>
      </c>
      <c r="G55" s="32">
        <v>27.7174</v>
      </c>
      <c r="H55" s="31">
        <f t="shared" si="1"/>
        <v>-8</v>
      </c>
      <c r="I55" s="31" t="str">
        <f t="shared" si="2"/>
        <v>Metaheurística</v>
      </c>
      <c r="J55" s="31">
        <f t="shared" si="3"/>
        <v>3598.71</v>
      </c>
      <c r="K55" s="31" t="str">
        <f t="shared" si="4"/>
        <v>Metaheurística</v>
      </c>
    </row>
    <row r="56" hidden="1">
      <c r="A56" s="30" t="s">
        <v>74</v>
      </c>
      <c r="B56" s="30" t="s">
        <v>45</v>
      </c>
      <c r="C56" s="29">
        <v>197.0</v>
      </c>
      <c r="D56" s="29">
        <v>1.3</v>
      </c>
      <c r="E56" s="30">
        <v>195.0</v>
      </c>
      <c r="F56" s="30">
        <v>3600.01</v>
      </c>
      <c r="G56" s="32">
        <v>29.7436</v>
      </c>
      <c r="H56" s="31">
        <f t="shared" si="1"/>
        <v>-2</v>
      </c>
      <c r="I56" s="31" t="str">
        <f t="shared" si="2"/>
        <v>Metaheurística</v>
      </c>
      <c r="J56" s="31">
        <f t="shared" si="3"/>
        <v>3598.71</v>
      </c>
      <c r="K56" s="31" t="str">
        <f t="shared" si="4"/>
        <v>Metaheurística</v>
      </c>
    </row>
    <row r="57" hidden="1">
      <c r="A57" s="30" t="s">
        <v>120</v>
      </c>
      <c r="B57" s="30" t="s">
        <v>45</v>
      </c>
      <c r="C57" s="29">
        <v>189.0</v>
      </c>
      <c r="D57" s="29">
        <v>1.3</v>
      </c>
      <c r="E57" s="30">
        <v>180.0</v>
      </c>
      <c r="F57" s="30">
        <v>3600.01</v>
      </c>
      <c r="G57" s="32">
        <v>38.8889</v>
      </c>
      <c r="H57" s="31">
        <f t="shared" si="1"/>
        <v>-9</v>
      </c>
      <c r="I57" s="31" t="str">
        <f t="shared" si="2"/>
        <v>Metaheurística</v>
      </c>
      <c r="J57" s="31">
        <f t="shared" si="3"/>
        <v>3598.71</v>
      </c>
      <c r="K57" s="31" t="str">
        <f t="shared" si="4"/>
        <v>Metaheurística</v>
      </c>
    </row>
    <row r="58" hidden="1">
      <c r="A58" s="30" t="s">
        <v>119</v>
      </c>
      <c r="B58" s="30" t="s">
        <v>45</v>
      </c>
      <c r="C58" s="29">
        <v>198.0</v>
      </c>
      <c r="D58" s="29">
        <v>1.3</v>
      </c>
      <c r="E58" s="30">
        <v>194.0</v>
      </c>
      <c r="F58" s="30">
        <v>3600.01</v>
      </c>
      <c r="G58" s="32">
        <v>31.9588</v>
      </c>
      <c r="H58" s="31">
        <f t="shared" si="1"/>
        <v>-4</v>
      </c>
      <c r="I58" s="31" t="str">
        <f t="shared" si="2"/>
        <v>Metaheurística</v>
      </c>
      <c r="J58" s="31">
        <f t="shared" si="3"/>
        <v>3598.71</v>
      </c>
      <c r="K58" s="31" t="str">
        <f t="shared" si="4"/>
        <v>Metaheurística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hidden="1">
      <c r="A59" s="30" t="s">
        <v>101</v>
      </c>
      <c r="B59" s="30" t="s">
        <v>45</v>
      </c>
      <c r="C59" s="29">
        <v>300.0</v>
      </c>
      <c r="D59" s="29">
        <v>2.3</v>
      </c>
      <c r="E59" s="30">
        <v>293.0</v>
      </c>
      <c r="F59" s="30">
        <v>3631.57</v>
      </c>
      <c r="G59" s="32">
        <v>43.0034</v>
      </c>
      <c r="H59" s="31">
        <f t="shared" si="1"/>
        <v>-7</v>
      </c>
      <c r="I59" s="31" t="str">
        <f t="shared" si="2"/>
        <v>Metaheurística</v>
      </c>
      <c r="J59" s="31">
        <f t="shared" si="3"/>
        <v>3629.27</v>
      </c>
      <c r="K59" s="31" t="str">
        <f t="shared" si="4"/>
        <v>Metaheurística</v>
      </c>
    </row>
    <row r="60" hidden="1">
      <c r="A60" s="30" t="s">
        <v>117</v>
      </c>
      <c r="B60" s="30" t="s">
        <v>45</v>
      </c>
      <c r="C60" s="29">
        <v>282.0</v>
      </c>
      <c r="D60" s="29">
        <v>2.3</v>
      </c>
      <c r="E60" s="30">
        <v>271.0</v>
      </c>
      <c r="F60" s="30">
        <v>3600.02</v>
      </c>
      <c r="G60" s="32">
        <v>38.3764</v>
      </c>
      <c r="H60" s="31">
        <f t="shared" si="1"/>
        <v>-11</v>
      </c>
      <c r="I60" s="31" t="str">
        <f t="shared" si="2"/>
        <v>Metaheurística</v>
      </c>
      <c r="J60" s="31">
        <f t="shared" si="3"/>
        <v>3597.72</v>
      </c>
      <c r="K60" s="31" t="str">
        <f t="shared" si="4"/>
        <v>Metaheurística</v>
      </c>
    </row>
    <row r="61" hidden="1">
      <c r="A61" s="30" t="s">
        <v>98</v>
      </c>
      <c r="B61" s="30" t="s">
        <v>45</v>
      </c>
      <c r="C61" s="29">
        <v>300.0</v>
      </c>
      <c r="D61" s="29">
        <v>2.2</v>
      </c>
      <c r="E61" s="30">
        <v>290.0</v>
      </c>
      <c r="F61" s="30">
        <v>3600.0</v>
      </c>
      <c r="G61" s="30">
        <v>40.0</v>
      </c>
      <c r="H61" s="31">
        <f t="shared" si="1"/>
        <v>-10</v>
      </c>
      <c r="I61" s="31" t="str">
        <f t="shared" si="2"/>
        <v>Metaheurística</v>
      </c>
      <c r="J61" s="31">
        <f t="shared" si="3"/>
        <v>3597.8</v>
      </c>
      <c r="K61" s="31" t="str">
        <f t="shared" si="4"/>
        <v>Metaheurística</v>
      </c>
    </row>
    <row r="62" hidden="1">
      <c r="A62" s="30" t="s">
        <v>143</v>
      </c>
      <c r="B62" s="30" t="s">
        <v>45</v>
      </c>
      <c r="C62" s="29">
        <v>282.0</v>
      </c>
      <c r="D62" s="29">
        <v>2.3</v>
      </c>
      <c r="E62" s="30">
        <v>276.0</v>
      </c>
      <c r="F62" s="30">
        <v>3651.2</v>
      </c>
      <c r="G62" s="32">
        <v>38.7681</v>
      </c>
      <c r="H62" s="31">
        <f t="shared" si="1"/>
        <v>-6</v>
      </c>
      <c r="I62" s="31" t="str">
        <f t="shared" si="2"/>
        <v>Metaheurística</v>
      </c>
      <c r="J62" s="31">
        <f t="shared" si="3"/>
        <v>3648.9</v>
      </c>
      <c r="K62" s="31" t="str">
        <f t="shared" si="4"/>
        <v>Metaheurística</v>
      </c>
    </row>
    <row r="63" hidden="1">
      <c r="A63" s="30" t="s">
        <v>92</v>
      </c>
      <c r="B63" s="30" t="s">
        <v>45</v>
      </c>
      <c r="C63" s="29">
        <v>305.0</v>
      </c>
      <c r="D63" s="29">
        <v>2.2</v>
      </c>
      <c r="E63" s="30">
        <v>290.0</v>
      </c>
      <c r="F63" s="30">
        <v>3600.0</v>
      </c>
      <c r="G63" s="32">
        <v>41.3793</v>
      </c>
      <c r="H63" s="31">
        <f t="shared" si="1"/>
        <v>-15</v>
      </c>
      <c r="I63" s="31" t="str">
        <f t="shared" si="2"/>
        <v>Metaheurística</v>
      </c>
      <c r="J63" s="31">
        <f t="shared" si="3"/>
        <v>3597.8</v>
      </c>
      <c r="K63" s="31" t="str">
        <f t="shared" si="4"/>
        <v>Metaheurística</v>
      </c>
    </row>
    <row r="64" hidden="1">
      <c r="A64" s="30" t="s">
        <v>97</v>
      </c>
      <c r="B64" s="30" t="s">
        <v>45</v>
      </c>
      <c r="C64" s="29">
        <v>392.0</v>
      </c>
      <c r="D64" s="29">
        <v>3.4</v>
      </c>
      <c r="E64" s="30">
        <v>367.0</v>
      </c>
      <c r="F64" s="30">
        <v>3600.11</v>
      </c>
      <c r="G64" s="32">
        <v>61.3079</v>
      </c>
      <c r="H64" s="31">
        <f t="shared" si="1"/>
        <v>-25</v>
      </c>
      <c r="I64" s="31" t="str">
        <f t="shared" si="2"/>
        <v>Metaheurística</v>
      </c>
      <c r="J64" s="31">
        <f t="shared" si="3"/>
        <v>3596.71</v>
      </c>
      <c r="K64" s="31" t="str">
        <f t="shared" si="4"/>
        <v>Metaheurística</v>
      </c>
    </row>
    <row r="65" hidden="1">
      <c r="A65" s="30" t="s">
        <v>121</v>
      </c>
      <c r="B65" s="30" t="s">
        <v>45</v>
      </c>
      <c r="C65" s="29">
        <v>388.0</v>
      </c>
      <c r="D65" s="29">
        <v>3.5</v>
      </c>
      <c r="E65" s="30">
        <v>372.0</v>
      </c>
      <c r="F65" s="30">
        <v>3614.45</v>
      </c>
      <c r="G65" s="32">
        <v>45.4301</v>
      </c>
      <c r="H65" s="31">
        <f t="shared" si="1"/>
        <v>-16</v>
      </c>
      <c r="I65" s="31" t="str">
        <f t="shared" si="2"/>
        <v>Metaheurística</v>
      </c>
      <c r="J65" s="31">
        <f t="shared" si="3"/>
        <v>3610.95</v>
      </c>
      <c r="K65" s="31" t="str">
        <f t="shared" si="4"/>
        <v>Metaheurística</v>
      </c>
    </row>
    <row r="66" hidden="1">
      <c r="A66" s="30" t="s">
        <v>116</v>
      </c>
      <c r="B66" s="30" t="s">
        <v>45</v>
      </c>
      <c r="C66" s="29">
        <v>380.0</v>
      </c>
      <c r="D66" s="29">
        <v>3.6</v>
      </c>
      <c r="E66" s="30">
        <v>366.0</v>
      </c>
      <c r="F66" s="30">
        <v>3603.83</v>
      </c>
      <c r="G66" s="32">
        <v>56.0109</v>
      </c>
      <c r="H66" s="31">
        <f t="shared" si="1"/>
        <v>-14</v>
      </c>
      <c r="I66" s="31" t="str">
        <f t="shared" si="2"/>
        <v>Metaheurística</v>
      </c>
      <c r="J66" s="31">
        <f t="shared" si="3"/>
        <v>3600.23</v>
      </c>
      <c r="K66" s="31" t="str">
        <f t="shared" si="4"/>
        <v>Metaheurística</v>
      </c>
    </row>
    <row r="67" hidden="1">
      <c r="A67" s="30" t="s">
        <v>102</v>
      </c>
      <c r="B67" s="30" t="s">
        <v>45</v>
      </c>
      <c r="C67" s="29">
        <v>369.0</v>
      </c>
      <c r="D67" s="29">
        <v>3.5</v>
      </c>
      <c r="E67" s="30">
        <v>348.0</v>
      </c>
      <c r="F67" s="30">
        <v>3600.11</v>
      </c>
      <c r="G67" s="32">
        <v>49.1379</v>
      </c>
      <c r="H67" s="31">
        <f t="shared" si="1"/>
        <v>-21</v>
      </c>
      <c r="I67" s="31" t="str">
        <f t="shared" si="2"/>
        <v>Metaheurística</v>
      </c>
      <c r="J67" s="31">
        <f t="shared" si="3"/>
        <v>3596.61</v>
      </c>
      <c r="K67" s="31" t="str">
        <f t="shared" si="4"/>
        <v>Metaheurística</v>
      </c>
    </row>
    <row r="68" hidden="1">
      <c r="A68" s="30" t="s">
        <v>147</v>
      </c>
      <c r="B68" s="30" t="s">
        <v>45</v>
      </c>
      <c r="C68" s="29">
        <v>383.0</v>
      </c>
      <c r="D68" s="29">
        <v>3.5</v>
      </c>
      <c r="E68" s="30">
        <v>374.0</v>
      </c>
      <c r="F68" s="30">
        <v>3600.1</v>
      </c>
      <c r="G68" s="32">
        <v>51.3369</v>
      </c>
      <c r="H68" s="31">
        <f t="shared" si="1"/>
        <v>-9</v>
      </c>
      <c r="I68" s="31" t="str">
        <f t="shared" si="2"/>
        <v>Metaheurística</v>
      </c>
      <c r="J68" s="31">
        <f t="shared" si="3"/>
        <v>3596.6</v>
      </c>
      <c r="K68" s="31" t="str">
        <f t="shared" si="4"/>
        <v>Metaheurística</v>
      </c>
    </row>
    <row r="69" hidden="1">
      <c r="A69" s="30" t="s">
        <v>146</v>
      </c>
      <c r="B69" s="30" t="s">
        <v>45</v>
      </c>
      <c r="C69" s="29">
        <v>479.0</v>
      </c>
      <c r="D69" s="29">
        <v>5.0</v>
      </c>
      <c r="E69" s="30">
        <v>415.0</v>
      </c>
      <c r="F69" s="30">
        <v>3600.14</v>
      </c>
      <c r="G69" s="32">
        <v>572.2892</v>
      </c>
      <c r="H69" s="31">
        <f t="shared" si="1"/>
        <v>-64</v>
      </c>
      <c r="I69" s="31" t="str">
        <f t="shared" si="2"/>
        <v>Metaheurística</v>
      </c>
      <c r="J69" s="31">
        <f t="shared" si="3"/>
        <v>3595.14</v>
      </c>
      <c r="K69" s="31" t="str">
        <f t="shared" si="4"/>
        <v>Metaheurística</v>
      </c>
    </row>
    <row r="70" hidden="1">
      <c r="A70" s="30" t="s">
        <v>89</v>
      </c>
      <c r="B70" s="30" t="s">
        <v>45</v>
      </c>
      <c r="C70" s="29">
        <v>478.0</v>
      </c>
      <c r="D70" s="29">
        <v>5.0</v>
      </c>
      <c r="E70" s="30">
        <v>410.0</v>
      </c>
      <c r="F70" s="30">
        <v>3600.22</v>
      </c>
      <c r="G70" s="32">
        <v>565.3659</v>
      </c>
      <c r="H70" s="31">
        <f t="shared" si="1"/>
        <v>-68</v>
      </c>
      <c r="I70" s="31" t="str">
        <f t="shared" si="2"/>
        <v>Metaheurística</v>
      </c>
      <c r="J70" s="31">
        <f t="shared" si="3"/>
        <v>3595.22</v>
      </c>
      <c r="K70" s="31" t="str">
        <f t="shared" si="4"/>
        <v>Metaheurística</v>
      </c>
    </row>
    <row r="71" hidden="1">
      <c r="A71" s="30" t="s">
        <v>47</v>
      </c>
      <c r="B71" s="30" t="s">
        <v>45</v>
      </c>
      <c r="C71" s="29">
        <v>482.0</v>
      </c>
      <c r="D71" s="29">
        <v>4.9</v>
      </c>
      <c r="E71" s="30">
        <v>417.0</v>
      </c>
      <c r="F71" s="30">
        <v>3600.13</v>
      </c>
      <c r="G71" s="32">
        <v>544.6043</v>
      </c>
      <c r="H71" s="31">
        <f t="shared" si="1"/>
        <v>-65</v>
      </c>
      <c r="I71" s="31" t="str">
        <f t="shared" si="2"/>
        <v>Metaheurística</v>
      </c>
      <c r="J71" s="31">
        <f t="shared" si="3"/>
        <v>3595.23</v>
      </c>
      <c r="K71" s="31" t="str">
        <f t="shared" si="4"/>
        <v>Metaheurística</v>
      </c>
    </row>
    <row r="72" hidden="1">
      <c r="A72" s="30" t="s">
        <v>137</v>
      </c>
      <c r="B72" s="30" t="s">
        <v>45</v>
      </c>
      <c r="C72" s="29">
        <v>484.0</v>
      </c>
      <c r="D72" s="29">
        <v>4.9</v>
      </c>
      <c r="E72" s="30">
        <v>444.0</v>
      </c>
      <c r="F72" s="30">
        <v>3600.22</v>
      </c>
      <c r="G72" s="32">
        <v>642.7928</v>
      </c>
      <c r="H72" s="31">
        <f t="shared" si="1"/>
        <v>-40</v>
      </c>
      <c r="I72" s="31" t="str">
        <f t="shared" si="2"/>
        <v>Metaheurística</v>
      </c>
      <c r="J72" s="31">
        <f t="shared" si="3"/>
        <v>3595.32</v>
      </c>
      <c r="K72" s="31" t="str">
        <f t="shared" si="4"/>
        <v>Metaheurística</v>
      </c>
    </row>
    <row r="73" hidden="1">
      <c r="A73" s="30" t="s">
        <v>136</v>
      </c>
      <c r="B73" s="30" t="s">
        <v>45</v>
      </c>
      <c r="C73" s="29">
        <v>456.0</v>
      </c>
      <c r="D73" s="29">
        <v>5.0</v>
      </c>
      <c r="E73" s="30">
        <v>390.0</v>
      </c>
      <c r="F73" s="30">
        <v>3600.19</v>
      </c>
      <c r="G73" s="32">
        <v>783.5897</v>
      </c>
      <c r="H73" s="31">
        <f t="shared" si="1"/>
        <v>-66</v>
      </c>
      <c r="I73" s="31" t="str">
        <f t="shared" si="2"/>
        <v>Metaheurística</v>
      </c>
      <c r="J73" s="31">
        <f t="shared" si="3"/>
        <v>3595.19</v>
      </c>
      <c r="K73" s="31" t="str">
        <f t="shared" si="4"/>
        <v>Metaheurística</v>
      </c>
    </row>
    <row r="74" hidden="1">
      <c r="A74" s="30" t="s">
        <v>128</v>
      </c>
      <c r="B74" s="30" t="s">
        <v>45</v>
      </c>
      <c r="C74" s="29">
        <v>680.0</v>
      </c>
      <c r="D74" s="29">
        <v>8.9</v>
      </c>
      <c r="E74" s="30">
        <v>593.0</v>
      </c>
      <c r="F74" s="30">
        <v>3600.08</v>
      </c>
      <c r="G74" s="32">
        <v>838.1113</v>
      </c>
      <c r="H74" s="31">
        <f t="shared" si="1"/>
        <v>-87</v>
      </c>
      <c r="I74" s="31" t="str">
        <f t="shared" si="2"/>
        <v>Metaheurística</v>
      </c>
      <c r="J74" s="31">
        <f t="shared" si="3"/>
        <v>3591.18</v>
      </c>
      <c r="K74" s="31" t="str">
        <f t="shared" si="4"/>
        <v>Metaheurística</v>
      </c>
    </row>
    <row r="75" hidden="1">
      <c r="A75" s="30" t="s">
        <v>68</v>
      </c>
      <c r="B75" s="30" t="s">
        <v>45</v>
      </c>
      <c r="C75" s="29">
        <v>675.0</v>
      </c>
      <c r="D75" s="29">
        <v>8.8</v>
      </c>
      <c r="E75" s="30">
        <v>598.0</v>
      </c>
      <c r="F75" s="30">
        <v>3600.14</v>
      </c>
      <c r="G75" s="32">
        <v>846.3211</v>
      </c>
      <c r="H75" s="31">
        <f t="shared" si="1"/>
        <v>-77</v>
      </c>
      <c r="I75" s="31" t="str">
        <f t="shared" si="2"/>
        <v>Metaheurística</v>
      </c>
      <c r="J75" s="31">
        <f t="shared" si="3"/>
        <v>3591.34</v>
      </c>
      <c r="K75" s="31" t="str">
        <f t="shared" si="4"/>
        <v>Metaheurística</v>
      </c>
    </row>
    <row r="76" hidden="1">
      <c r="A76" s="30" t="s">
        <v>112</v>
      </c>
      <c r="B76" s="30" t="s">
        <v>45</v>
      </c>
      <c r="C76" s="29">
        <v>684.0</v>
      </c>
      <c r="D76" s="29">
        <v>8.6</v>
      </c>
      <c r="E76" s="30">
        <v>629.0</v>
      </c>
      <c r="F76" s="30">
        <v>3600.1</v>
      </c>
      <c r="G76" s="32">
        <v>785.8506</v>
      </c>
      <c r="H76" s="31">
        <f t="shared" si="1"/>
        <v>-55</v>
      </c>
      <c r="I76" s="31" t="str">
        <f t="shared" si="2"/>
        <v>Metaheurística</v>
      </c>
      <c r="J76" s="31">
        <f t="shared" si="3"/>
        <v>3591.5</v>
      </c>
      <c r="K76" s="31" t="str">
        <f t="shared" si="4"/>
        <v>Metaheurística</v>
      </c>
    </row>
    <row r="77" hidden="1">
      <c r="A77" s="30" t="s">
        <v>145</v>
      </c>
      <c r="B77" s="30" t="s">
        <v>45</v>
      </c>
      <c r="C77" s="29">
        <v>684.0</v>
      </c>
      <c r="D77" s="29">
        <v>9.1</v>
      </c>
      <c r="E77" s="30">
        <v>583.0</v>
      </c>
      <c r="F77" s="30">
        <v>3600.06</v>
      </c>
      <c r="G77" s="32">
        <v>867.2384</v>
      </c>
      <c r="H77" s="31">
        <f t="shared" si="1"/>
        <v>-101</v>
      </c>
      <c r="I77" s="31" t="str">
        <f t="shared" si="2"/>
        <v>Metaheurística</v>
      </c>
      <c r="J77" s="31">
        <f t="shared" si="3"/>
        <v>3590.96</v>
      </c>
      <c r="K77" s="31" t="str">
        <f t="shared" si="4"/>
        <v>Metaheurística</v>
      </c>
    </row>
    <row r="78" hidden="1">
      <c r="A78" s="30" t="s">
        <v>56</v>
      </c>
      <c r="B78" s="30" t="s">
        <v>45</v>
      </c>
      <c r="C78" s="29">
        <v>684.0</v>
      </c>
      <c r="D78" s="29">
        <v>8.8</v>
      </c>
      <c r="E78" s="30">
        <v>541.0</v>
      </c>
      <c r="F78" s="30">
        <v>3600.08</v>
      </c>
      <c r="G78" s="32">
        <v>909.6118</v>
      </c>
      <c r="H78" s="31">
        <f t="shared" si="1"/>
        <v>-143</v>
      </c>
      <c r="I78" s="31" t="str">
        <f t="shared" si="2"/>
        <v>Metaheurística</v>
      </c>
      <c r="J78" s="31">
        <f t="shared" si="3"/>
        <v>3591.28</v>
      </c>
      <c r="K78" s="31" t="str">
        <f t="shared" si="4"/>
        <v>Metaheurística</v>
      </c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</sheetData>
  <autoFilter ref="$A$1:$K$78">
    <filterColumn colId="1">
      <filters>
        <filter val="Corporativa"/>
      </filters>
    </filterColumn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5.13"/>
    <col customWidth="1" min="4" max="4" width="17.13"/>
    <col customWidth="1" min="5" max="5" width="20.13"/>
    <col customWidth="1" min="6" max="6" width="24.0"/>
    <col customWidth="1" min="7" max="7" width="23.38"/>
    <col customWidth="1" min="8" max="8" width="17.88"/>
  </cols>
  <sheetData>
    <row r="1">
      <c r="A1" s="6" t="s">
        <v>38</v>
      </c>
      <c r="B1" s="6" t="s">
        <v>39</v>
      </c>
      <c r="C1" s="6" t="s">
        <v>181</v>
      </c>
      <c r="D1" s="6" t="s">
        <v>40</v>
      </c>
      <c r="E1" s="6" t="s">
        <v>182</v>
      </c>
      <c r="F1" s="6" t="s">
        <v>183</v>
      </c>
      <c r="G1" s="6" t="s">
        <v>184</v>
      </c>
      <c r="H1" s="6" t="s">
        <v>185</v>
      </c>
      <c r="I1" s="6" t="s">
        <v>186</v>
      </c>
    </row>
    <row r="2">
      <c r="A2" s="6" t="s">
        <v>93</v>
      </c>
      <c r="B2" s="6" t="s">
        <v>53</v>
      </c>
      <c r="C2" s="6" t="s">
        <v>187</v>
      </c>
      <c r="D2" s="6">
        <v>10.0</v>
      </c>
      <c r="E2" s="6">
        <v>77.0</v>
      </c>
      <c r="F2" s="6">
        <v>8.4</v>
      </c>
      <c r="G2" s="6">
        <v>5.3</v>
      </c>
      <c r="H2" s="6">
        <v>1.78</v>
      </c>
      <c r="I2" s="6">
        <v>48.89</v>
      </c>
    </row>
    <row r="3">
      <c r="A3" s="6" t="s">
        <v>36</v>
      </c>
      <c r="B3" s="6" t="s">
        <v>53</v>
      </c>
      <c r="C3" s="6" t="s">
        <v>187</v>
      </c>
      <c r="D3" s="6">
        <v>10.0</v>
      </c>
      <c r="E3" s="6">
        <v>74.0</v>
      </c>
      <c r="F3" s="6">
        <v>8.1</v>
      </c>
      <c r="G3" s="6">
        <v>4.6</v>
      </c>
      <c r="H3" s="6">
        <v>1.72</v>
      </c>
      <c r="I3" s="6">
        <v>51.11</v>
      </c>
    </row>
    <row r="4">
      <c r="A4" s="6" t="s">
        <v>55</v>
      </c>
      <c r="B4" s="6" t="s">
        <v>53</v>
      </c>
      <c r="C4" s="6" t="s">
        <v>187</v>
      </c>
      <c r="D4" s="6">
        <v>15.0</v>
      </c>
      <c r="E4" s="6">
        <v>92.0</v>
      </c>
      <c r="F4" s="6">
        <v>9.53</v>
      </c>
      <c r="G4" s="6">
        <v>4.4</v>
      </c>
      <c r="H4" s="6">
        <v>2.27</v>
      </c>
      <c r="I4" s="6">
        <v>43.81</v>
      </c>
    </row>
    <row r="5">
      <c r="A5" s="6" t="s">
        <v>141</v>
      </c>
      <c r="B5" s="6" t="s">
        <v>53</v>
      </c>
      <c r="C5" s="6" t="s">
        <v>187</v>
      </c>
      <c r="D5" s="6">
        <v>15.0</v>
      </c>
      <c r="E5" s="6">
        <v>88.0</v>
      </c>
      <c r="F5" s="6">
        <v>7.73</v>
      </c>
      <c r="G5" s="6">
        <v>4.0</v>
      </c>
      <c r="H5" s="6">
        <v>2.0</v>
      </c>
      <c r="I5" s="6">
        <v>64.76</v>
      </c>
    </row>
    <row r="6">
      <c r="A6" s="6" t="s">
        <v>109</v>
      </c>
      <c r="B6" s="6" t="s">
        <v>53</v>
      </c>
      <c r="C6" s="6" t="s">
        <v>187</v>
      </c>
      <c r="D6" s="6">
        <v>20.0</v>
      </c>
      <c r="E6" s="6">
        <v>118.0</v>
      </c>
      <c r="F6" s="6">
        <v>10.2</v>
      </c>
      <c r="G6" s="6">
        <v>4.2</v>
      </c>
      <c r="H6" s="6">
        <v>2.44</v>
      </c>
      <c r="I6" s="6">
        <v>44.21</v>
      </c>
    </row>
    <row r="7">
      <c r="A7" s="6" t="s">
        <v>85</v>
      </c>
      <c r="B7" s="6" t="s">
        <v>53</v>
      </c>
      <c r="C7" s="6" t="s">
        <v>187</v>
      </c>
      <c r="D7" s="6">
        <v>20.0</v>
      </c>
      <c r="E7" s="6">
        <v>124.0</v>
      </c>
      <c r="F7" s="6">
        <v>11.0</v>
      </c>
      <c r="G7" s="6">
        <v>4.65</v>
      </c>
      <c r="H7" s="6">
        <v>2.52</v>
      </c>
      <c r="I7" s="6">
        <v>50.53</v>
      </c>
    </row>
    <row r="8">
      <c r="A8" s="6" t="s">
        <v>105</v>
      </c>
      <c r="B8" s="6" t="s">
        <v>53</v>
      </c>
      <c r="C8" s="6" t="s">
        <v>188</v>
      </c>
      <c r="D8" s="6">
        <v>25.0</v>
      </c>
      <c r="E8" s="6">
        <v>153.0</v>
      </c>
      <c r="F8" s="6">
        <v>12.28</v>
      </c>
      <c r="G8" s="6">
        <v>4.6</v>
      </c>
      <c r="H8" s="6">
        <v>2.76</v>
      </c>
      <c r="I8" s="6">
        <v>49.33</v>
      </c>
    </row>
    <row r="9">
      <c r="A9" s="6" t="s">
        <v>126</v>
      </c>
      <c r="B9" s="6" t="s">
        <v>53</v>
      </c>
      <c r="C9" s="6" t="s">
        <v>188</v>
      </c>
      <c r="D9" s="6">
        <v>30.0</v>
      </c>
      <c r="E9" s="6">
        <v>168.0</v>
      </c>
      <c r="F9" s="6">
        <v>10.47</v>
      </c>
      <c r="G9" s="6">
        <v>4.43</v>
      </c>
      <c r="H9" s="6">
        <v>2.66</v>
      </c>
      <c r="I9" s="6">
        <v>47.59</v>
      </c>
    </row>
    <row r="10">
      <c r="A10" s="6" t="s">
        <v>65</v>
      </c>
      <c r="B10" s="6" t="s">
        <v>53</v>
      </c>
      <c r="C10" s="6" t="s">
        <v>188</v>
      </c>
      <c r="D10" s="6">
        <v>30.0</v>
      </c>
      <c r="E10" s="6">
        <v>168.0</v>
      </c>
      <c r="F10" s="6">
        <v>11.77</v>
      </c>
      <c r="G10" s="6">
        <v>4.27</v>
      </c>
      <c r="H10" s="6">
        <v>2.86</v>
      </c>
      <c r="I10" s="6">
        <v>47.59</v>
      </c>
    </row>
    <row r="11">
      <c r="A11" s="6" t="s">
        <v>114</v>
      </c>
      <c r="B11" s="6" t="s">
        <v>53</v>
      </c>
      <c r="C11" s="6" t="s">
        <v>188</v>
      </c>
      <c r="D11" s="6">
        <v>40.0</v>
      </c>
      <c r="E11" s="6">
        <v>239.0</v>
      </c>
      <c r="F11" s="6">
        <v>10.45</v>
      </c>
      <c r="G11" s="6">
        <v>5.0</v>
      </c>
      <c r="H11" s="6">
        <v>2.59</v>
      </c>
      <c r="I11" s="6">
        <v>40.77</v>
      </c>
    </row>
    <row r="12">
      <c r="A12" s="6" t="s">
        <v>69</v>
      </c>
      <c r="B12" s="6" t="s">
        <v>53</v>
      </c>
      <c r="C12" s="6" t="s">
        <v>188</v>
      </c>
      <c r="D12" s="6">
        <v>50.0</v>
      </c>
      <c r="E12" s="6">
        <v>266.0</v>
      </c>
      <c r="F12" s="6">
        <v>9.76</v>
      </c>
      <c r="G12" s="6">
        <v>4.48</v>
      </c>
      <c r="H12" s="6">
        <v>2.68</v>
      </c>
      <c r="I12" s="6">
        <v>38.04</v>
      </c>
    </row>
    <row r="13">
      <c r="A13" s="6" t="s">
        <v>150</v>
      </c>
      <c r="B13" s="6" t="s">
        <v>53</v>
      </c>
      <c r="C13" s="6" t="s">
        <v>188</v>
      </c>
      <c r="D13" s="6">
        <v>50.0</v>
      </c>
      <c r="E13" s="6">
        <v>254.0</v>
      </c>
      <c r="F13" s="6">
        <v>9.4</v>
      </c>
      <c r="G13" s="6">
        <v>4.28</v>
      </c>
      <c r="H13" s="6">
        <v>2.69</v>
      </c>
      <c r="I13" s="6">
        <v>36.08</v>
      </c>
    </row>
    <row r="14">
      <c r="A14" s="6" t="s">
        <v>123</v>
      </c>
      <c r="B14" s="6" t="s">
        <v>53</v>
      </c>
      <c r="C14" s="6" t="s">
        <v>188</v>
      </c>
      <c r="D14" s="6">
        <v>75.0</v>
      </c>
      <c r="E14" s="6">
        <v>404.0</v>
      </c>
      <c r="F14" s="6">
        <v>9.93</v>
      </c>
      <c r="G14" s="6">
        <v>4.59</v>
      </c>
      <c r="H14" s="6">
        <v>2.7</v>
      </c>
      <c r="I14" s="6">
        <v>34.88</v>
      </c>
    </row>
    <row r="15">
      <c r="A15" s="6" t="s">
        <v>61</v>
      </c>
      <c r="B15" s="6" t="s">
        <v>53</v>
      </c>
      <c r="C15" s="6" t="s">
        <v>189</v>
      </c>
      <c r="D15" s="6">
        <v>100.0</v>
      </c>
      <c r="E15" s="6">
        <v>504.0</v>
      </c>
      <c r="F15" s="6">
        <v>10.47</v>
      </c>
      <c r="G15" s="6">
        <v>4.28</v>
      </c>
      <c r="H15" s="6">
        <v>2.93</v>
      </c>
      <c r="I15" s="6">
        <v>31.49</v>
      </c>
    </row>
    <row r="16">
      <c r="A16" s="6" t="s">
        <v>100</v>
      </c>
      <c r="B16" s="6" t="s">
        <v>53</v>
      </c>
      <c r="C16" s="6" t="s">
        <v>189</v>
      </c>
      <c r="D16" s="6">
        <v>100.0</v>
      </c>
      <c r="E16" s="6">
        <v>555.0</v>
      </c>
      <c r="F16" s="6">
        <v>10.24</v>
      </c>
      <c r="G16" s="6">
        <v>4.82</v>
      </c>
      <c r="H16" s="6">
        <v>2.71</v>
      </c>
      <c r="I16" s="6">
        <v>28.04</v>
      </c>
    </row>
    <row r="17">
      <c r="A17" s="6" t="s">
        <v>94</v>
      </c>
      <c r="B17" s="6" t="s">
        <v>53</v>
      </c>
      <c r="C17" s="6" t="s">
        <v>189</v>
      </c>
      <c r="D17" s="6">
        <v>150.0</v>
      </c>
      <c r="E17" s="6">
        <v>765.0</v>
      </c>
      <c r="F17" s="6">
        <v>10.49</v>
      </c>
      <c r="G17" s="6">
        <v>4.44</v>
      </c>
      <c r="H17" s="6">
        <v>2.93</v>
      </c>
      <c r="I17" s="6">
        <v>28.21</v>
      </c>
    </row>
    <row r="18">
      <c r="A18" s="6" t="s">
        <v>132</v>
      </c>
      <c r="B18" s="6" t="s">
        <v>53</v>
      </c>
      <c r="C18" s="6" t="s">
        <v>189</v>
      </c>
      <c r="D18" s="6">
        <v>208.0</v>
      </c>
      <c r="E18" s="6">
        <v>1068.0</v>
      </c>
      <c r="F18" s="6">
        <v>9.89</v>
      </c>
      <c r="G18" s="6">
        <v>4.47</v>
      </c>
      <c r="H18" s="6">
        <v>2.8</v>
      </c>
      <c r="I18" s="6">
        <v>21.28</v>
      </c>
    </row>
    <row r="19">
      <c r="A19" s="6" t="s">
        <v>110</v>
      </c>
      <c r="B19" s="6" t="s">
        <v>53</v>
      </c>
      <c r="C19" s="6" t="s">
        <v>189</v>
      </c>
      <c r="D19" s="6">
        <v>208.0</v>
      </c>
      <c r="E19" s="6">
        <v>1035.0</v>
      </c>
      <c r="F19" s="6">
        <v>9.98</v>
      </c>
      <c r="G19" s="6">
        <v>4.38</v>
      </c>
      <c r="H19" s="6">
        <v>2.89</v>
      </c>
      <c r="I19" s="6">
        <v>23.64</v>
      </c>
    </row>
    <row r="20">
      <c r="A20" s="6" t="s">
        <v>52</v>
      </c>
      <c r="B20" s="6" t="s">
        <v>53</v>
      </c>
      <c r="C20" s="6" t="s">
        <v>189</v>
      </c>
      <c r="D20" s="6">
        <v>300.0</v>
      </c>
      <c r="E20" s="6">
        <v>1585.0</v>
      </c>
      <c r="F20" s="6">
        <v>11.38</v>
      </c>
      <c r="G20" s="6">
        <v>4.61</v>
      </c>
      <c r="H20" s="6">
        <v>3.03</v>
      </c>
      <c r="I20" s="6">
        <v>17.81</v>
      </c>
    </row>
    <row r="21">
      <c r="A21" s="6" t="s">
        <v>86</v>
      </c>
      <c r="B21" s="6" t="s">
        <v>53</v>
      </c>
      <c r="C21" s="6" t="s">
        <v>189</v>
      </c>
      <c r="D21" s="6">
        <v>500.0</v>
      </c>
      <c r="E21" s="6">
        <v>2470.0</v>
      </c>
      <c r="F21" s="6">
        <v>11.64</v>
      </c>
      <c r="G21" s="6">
        <v>4.35</v>
      </c>
      <c r="H21" s="6">
        <v>3.24</v>
      </c>
      <c r="I21" s="6">
        <v>13.02</v>
      </c>
    </row>
    <row r="22">
      <c r="A22" s="6" t="s">
        <v>77</v>
      </c>
      <c r="B22" s="6" t="s">
        <v>45</v>
      </c>
      <c r="C22" s="6" t="s">
        <v>189</v>
      </c>
      <c r="D22" s="6">
        <v>250.0</v>
      </c>
      <c r="E22" s="6">
        <v>1276.0</v>
      </c>
      <c r="F22" s="6">
        <v>9.78</v>
      </c>
      <c r="G22" s="6">
        <v>4.59</v>
      </c>
      <c r="H22" s="6">
        <v>2.82</v>
      </c>
      <c r="I22" s="6">
        <v>22.17</v>
      </c>
    </row>
    <row r="23">
      <c r="A23" s="6" t="s">
        <v>67</v>
      </c>
      <c r="B23" s="6" t="s">
        <v>45</v>
      </c>
      <c r="C23" s="6" t="s">
        <v>189</v>
      </c>
      <c r="D23" s="6">
        <v>250.0</v>
      </c>
      <c r="E23" s="6">
        <v>1252.0</v>
      </c>
      <c r="F23" s="6">
        <v>9.71</v>
      </c>
      <c r="G23" s="6">
        <v>4.45</v>
      </c>
      <c r="H23" s="6">
        <v>2.83</v>
      </c>
      <c r="I23" s="6">
        <v>21.48</v>
      </c>
    </row>
    <row r="24">
      <c r="A24" s="6" t="s">
        <v>70</v>
      </c>
      <c r="B24" s="6" t="s">
        <v>45</v>
      </c>
      <c r="C24" s="6" t="s">
        <v>189</v>
      </c>
      <c r="D24" s="6">
        <v>250.0</v>
      </c>
      <c r="E24" s="6">
        <v>1253.0</v>
      </c>
      <c r="F24" s="6">
        <v>9.56</v>
      </c>
      <c r="G24" s="6">
        <v>4.54</v>
      </c>
      <c r="H24" s="6">
        <v>2.81</v>
      </c>
      <c r="I24" s="6">
        <v>23.73</v>
      </c>
    </row>
    <row r="25">
      <c r="A25" s="6" t="s">
        <v>104</v>
      </c>
      <c r="B25" s="6" t="s">
        <v>45</v>
      </c>
      <c r="C25" s="6" t="s">
        <v>189</v>
      </c>
      <c r="D25" s="6">
        <v>250.0</v>
      </c>
      <c r="E25" s="6">
        <v>1264.0</v>
      </c>
      <c r="F25" s="6">
        <v>9.67</v>
      </c>
      <c r="G25" s="6">
        <v>4.56</v>
      </c>
      <c r="H25" s="6">
        <v>2.81</v>
      </c>
      <c r="I25" s="6">
        <v>23.28</v>
      </c>
    </row>
    <row r="26">
      <c r="A26" s="6" t="s">
        <v>84</v>
      </c>
      <c r="B26" s="6" t="s">
        <v>45</v>
      </c>
      <c r="C26" s="6" t="s">
        <v>189</v>
      </c>
      <c r="D26" s="6">
        <v>250.0</v>
      </c>
      <c r="E26" s="6">
        <v>1265.0</v>
      </c>
      <c r="F26" s="6">
        <v>9.7</v>
      </c>
      <c r="G26" s="6">
        <v>4.56</v>
      </c>
      <c r="H26" s="6">
        <v>2.82</v>
      </c>
      <c r="I26" s="6">
        <v>22.4</v>
      </c>
    </row>
    <row r="27">
      <c r="A27" s="6" t="s">
        <v>107</v>
      </c>
      <c r="B27" s="6" t="s">
        <v>45</v>
      </c>
      <c r="C27" s="6" t="s">
        <v>189</v>
      </c>
      <c r="D27" s="6">
        <v>300.0</v>
      </c>
      <c r="E27" s="6">
        <v>1503.0</v>
      </c>
      <c r="F27" s="6">
        <v>9.93</v>
      </c>
      <c r="G27" s="6">
        <v>4.32</v>
      </c>
      <c r="H27" s="6">
        <v>2.84</v>
      </c>
      <c r="I27" s="6">
        <v>17.31</v>
      </c>
    </row>
    <row r="28">
      <c r="A28" s="6" t="s">
        <v>80</v>
      </c>
      <c r="B28" s="6" t="s">
        <v>45</v>
      </c>
      <c r="C28" s="6" t="s">
        <v>189</v>
      </c>
      <c r="D28" s="6">
        <v>300.0</v>
      </c>
      <c r="E28" s="6">
        <v>1534.0</v>
      </c>
      <c r="F28" s="6">
        <v>9.94</v>
      </c>
      <c r="G28" s="6">
        <v>4.48</v>
      </c>
      <c r="H28" s="6">
        <v>2.82</v>
      </c>
      <c r="I28" s="6">
        <v>17.98</v>
      </c>
    </row>
    <row r="29">
      <c r="A29" s="6" t="s">
        <v>151</v>
      </c>
      <c r="B29" s="6" t="s">
        <v>45</v>
      </c>
      <c r="C29" s="6" t="s">
        <v>189</v>
      </c>
      <c r="D29" s="6">
        <v>300.0</v>
      </c>
      <c r="E29" s="6">
        <v>1574.0</v>
      </c>
      <c r="F29" s="6">
        <v>10.3</v>
      </c>
      <c r="G29" s="6">
        <v>4.56</v>
      </c>
      <c r="H29" s="6">
        <v>2.83</v>
      </c>
      <c r="I29" s="6">
        <v>17.26</v>
      </c>
    </row>
    <row r="30">
      <c r="A30" s="6" t="s">
        <v>118</v>
      </c>
      <c r="B30" s="6" t="s">
        <v>45</v>
      </c>
      <c r="C30" s="6" t="s">
        <v>189</v>
      </c>
      <c r="D30" s="6">
        <v>300.0</v>
      </c>
      <c r="E30" s="6">
        <v>1521.0</v>
      </c>
      <c r="F30" s="6">
        <v>9.83</v>
      </c>
      <c r="G30" s="6">
        <v>4.44</v>
      </c>
      <c r="H30" s="6">
        <v>2.82</v>
      </c>
      <c r="I30" s="6">
        <v>17.8</v>
      </c>
    </row>
    <row r="31">
      <c r="A31" s="6" t="s">
        <v>152</v>
      </c>
      <c r="B31" s="6" t="s">
        <v>45</v>
      </c>
      <c r="C31" s="6" t="s">
        <v>189</v>
      </c>
      <c r="D31" s="6">
        <v>300.0</v>
      </c>
      <c r="E31" s="6">
        <v>1534.0</v>
      </c>
      <c r="F31" s="6">
        <v>10.11</v>
      </c>
      <c r="G31" s="6">
        <v>4.38</v>
      </c>
      <c r="H31" s="6">
        <v>2.83</v>
      </c>
      <c r="I31" s="6">
        <v>16.8</v>
      </c>
    </row>
    <row r="32">
      <c r="A32" s="6" t="s">
        <v>99</v>
      </c>
      <c r="B32" s="6" t="s">
        <v>45</v>
      </c>
      <c r="C32" s="6" t="s">
        <v>189</v>
      </c>
      <c r="D32" s="6">
        <v>400.0</v>
      </c>
      <c r="E32" s="6">
        <v>2044.0</v>
      </c>
      <c r="F32" s="6">
        <v>9.77</v>
      </c>
      <c r="G32" s="6">
        <v>4.62</v>
      </c>
      <c r="H32" s="6">
        <v>2.82</v>
      </c>
      <c r="I32" s="6">
        <v>15.8</v>
      </c>
    </row>
    <row r="33">
      <c r="A33" s="6" t="s">
        <v>149</v>
      </c>
      <c r="B33" s="6" t="s">
        <v>45</v>
      </c>
      <c r="C33" s="6" t="s">
        <v>189</v>
      </c>
      <c r="D33" s="6">
        <v>400.0</v>
      </c>
      <c r="E33" s="6">
        <v>2040.0</v>
      </c>
      <c r="F33" s="6">
        <v>10.06</v>
      </c>
      <c r="G33" s="6">
        <v>4.41</v>
      </c>
      <c r="H33" s="6">
        <v>2.84</v>
      </c>
      <c r="I33" s="6">
        <v>13.2</v>
      </c>
    </row>
    <row r="34">
      <c r="A34" s="6" t="s">
        <v>139</v>
      </c>
      <c r="B34" s="6" t="s">
        <v>45</v>
      </c>
      <c r="C34" s="6" t="s">
        <v>189</v>
      </c>
      <c r="D34" s="6">
        <v>400.0</v>
      </c>
      <c r="E34" s="6">
        <v>2050.0</v>
      </c>
      <c r="F34" s="6">
        <v>10.05</v>
      </c>
      <c r="G34" s="6">
        <v>4.49</v>
      </c>
      <c r="H34" s="6">
        <v>2.84</v>
      </c>
      <c r="I34" s="6">
        <v>13.62</v>
      </c>
    </row>
    <row r="35">
      <c r="A35" s="6" t="s">
        <v>113</v>
      </c>
      <c r="B35" s="6" t="s">
        <v>45</v>
      </c>
      <c r="C35" s="6" t="s">
        <v>189</v>
      </c>
      <c r="D35" s="6">
        <v>400.0</v>
      </c>
      <c r="E35" s="6">
        <v>1969.0</v>
      </c>
      <c r="F35" s="6">
        <v>9.56</v>
      </c>
      <c r="G35" s="6">
        <v>4.34</v>
      </c>
      <c r="H35" s="6">
        <v>2.82</v>
      </c>
      <c r="I35" s="6">
        <v>13.13</v>
      </c>
    </row>
    <row r="36">
      <c r="A36" s="6" t="s">
        <v>138</v>
      </c>
      <c r="B36" s="6" t="s">
        <v>45</v>
      </c>
      <c r="C36" s="6" t="s">
        <v>189</v>
      </c>
      <c r="D36" s="6">
        <v>400.0</v>
      </c>
      <c r="E36" s="6">
        <v>2022.0</v>
      </c>
      <c r="F36" s="6">
        <v>9.68</v>
      </c>
      <c r="G36" s="6">
        <v>4.58</v>
      </c>
      <c r="H36" s="6">
        <v>2.82</v>
      </c>
      <c r="I36" s="6">
        <v>14.99</v>
      </c>
    </row>
    <row r="37">
      <c r="A37" s="6" t="s">
        <v>82</v>
      </c>
      <c r="B37" s="6" t="s">
        <v>45</v>
      </c>
      <c r="C37" s="6" t="s">
        <v>189</v>
      </c>
      <c r="D37" s="6">
        <v>500.0</v>
      </c>
      <c r="E37" s="6">
        <v>2536.0</v>
      </c>
      <c r="F37" s="6">
        <v>10.04</v>
      </c>
      <c r="G37" s="6">
        <v>4.37</v>
      </c>
      <c r="H37" s="6">
        <v>2.84</v>
      </c>
      <c r="I37" s="6">
        <v>10.42</v>
      </c>
    </row>
    <row r="38">
      <c r="A38" s="6" t="s">
        <v>142</v>
      </c>
      <c r="B38" s="6" t="s">
        <v>45</v>
      </c>
      <c r="C38" s="6" t="s">
        <v>189</v>
      </c>
      <c r="D38" s="6">
        <v>500.0</v>
      </c>
      <c r="E38" s="6">
        <v>2545.0</v>
      </c>
      <c r="F38" s="6">
        <v>9.7</v>
      </c>
      <c r="G38" s="6">
        <v>4.61</v>
      </c>
      <c r="H38" s="6">
        <v>2.81</v>
      </c>
      <c r="I38" s="6">
        <v>12.72</v>
      </c>
    </row>
    <row r="39">
      <c r="A39" s="6" t="s">
        <v>57</v>
      </c>
      <c r="B39" s="6" t="s">
        <v>45</v>
      </c>
      <c r="C39" s="6" t="s">
        <v>189</v>
      </c>
      <c r="D39" s="6">
        <v>500.0</v>
      </c>
      <c r="E39" s="6">
        <v>2571.0</v>
      </c>
      <c r="F39" s="6">
        <v>9.87</v>
      </c>
      <c r="G39" s="6">
        <v>4.63</v>
      </c>
      <c r="H39" s="6">
        <v>2.82</v>
      </c>
      <c r="I39" s="6">
        <v>11.93</v>
      </c>
    </row>
    <row r="40">
      <c r="A40" s="6" t="s">
        <v>48</v>
      </c>
      <c r="B40" s="6" t="s">
        <v>45</v>
      </c>
      <c r="C40" s="6" t="s">
        <v>189</v>
      </c>
      <c r="D40" s="6">
        <v>500.0</v>
      </c>
      <c r="E40" s="6">
        <v>2537.0</v>
      </c>
      <c r="F40" s="6">
        <v>9.94</v>
      </c>
      <c r="G40" s="6">
        <v>4.41</v>
      </c>
      <c r="H40" s="6">
        <v>2.83</v>
      </c>
      <c r="I40" s="6">
        <v>10.94</v>
      </c>
    </row>
    <row r="41">
      <c r="A41" s="6" t="s">
        <v>78</v>
      </c>
      <c r="B41" s="6" t="s">
        <v>45</v>
      </c>
      <c r="C41" s="6" t="s">
        <v>189</v>
      </c>
      <c r="D41" s="6">
        <v>500.0</v>
      </c>
      <c r="E41" s="6">
        <v>2590.0</v>
      </c>
      <c r="F41" s="6">
        <v>10.3</v>
      </c>
      <c r="G41" s="6">
        <v>4.43</v>
      </c>
      <c r="H41" s="6">
        <v>2.84</v>
      </c>
      <c r="I41" s="6">
        <v>10.92</v>
      </c>
    </row>
    <row r="42">
      <c r="A42" s="6" t="s">
        <v>90</v>
      </c>
      <c r="B42" s="6" t="s">
        <v>45</v>
      </c>
      <c r="C42" s="6" t="s">
        <v>189</v>
      </c>
      <c r="D42" s="6">
        <v>750.0</v>
      </c>
      <c r="E42" s="6">
        <v>3830.0</v>
      </c>
      <c r="F42" s="6">
        <v>9.89</v>
      </c>
      <c r="G42" s="6">
        <v>4.53</v>
      </c>
      <c r="H42" s="6">
        <v>2.82</v>
      </c>
      <c r="I42" s="6">
        <v>7.93</v>
      </c>
    </row>
    <row r="43">
      <c r="A43" s="6" t="s">
        <v>127</v>
      </c>
      <c r="B43" s="6" t="s">
        <v>45</v>
      </c>
      <c r="C43" s="6" t="s">
        <v>189</v>
      </c>
      <c r="D43" s="6">
        <v>750.0</v>
      </c>
      <c r="E43" s="6">
        <v>3849.0</v>
      </c>
      <c r="F43" s="6">
        <v>10.17</v>
      </c>
      <c r="G43" s="6">
        <v>4.42</v>
      </c>
      <c r="H43" s="6">
        <v>2.84</v>
      </c>
      <c r="I43" s="6">
        <v>7.54</v>
      </c>
    </row>
    <row r="44">
      <c r="A44" s="6" t="s">
        <v>81</v>
      </c>
      <c r="B44" s="6" t="s">
        <v>45</v>
      </c>
      <c r="C44" s="6" t="s">
        <v>189</v>
      </c>
      <c r="D44" s="6">
        <v>750.0</v>
      </c>
      <c r="E44" s="6">
        <v>3767.0</v>
      </c>
      <c r="F44" s="6">
        <v>9.75</v>
      </c>
      <c r="G44" s="6">
        <v>4.44</v>
      </c>
      <c r="H44" s="6">
        <v>2.82</v>
      </c>
      <c r="I44" s="6">
        <v>7.59</v>
      </c>
    </row>
    <row r="45">
      <c r="A45" s="6" t="s">
        <v>154</v>
      </c>
      <c r="B45" s="6" t="s">
        <v>45</v>
      </c>
      <c r="C45" s="6" t="s">
        <v>189</v>
      </c>
      <c r="D45" s="6">
        <v>750.0</v>
      </c>
      <c r="E45" s="6">
        <v>3763.0</v>
      </c>
      <c r="F45" s="6">
        <v>9.69</v>
      </c>
      <c r="G45" s="6">
        <v>4.46</v>
      </c>
      <c r="H45" s="6">
        <v>2.82</v>
      </c>
      <c r="I45" s="6">
        <v>7.96</v>
      </c>
    </row>
    <row r="46">
      <c r="A46" s="6" t="s">
        <v>129</v>
      </c>
      <c r="B46" s="6" t="s">
        <v>45</v>
      </c>
      <c r="C46" s="6" t="s">
        <v>189</v>
      </c>
      <c r="D46" s="6">
        <v>750.0</v>
      </c>
      <c r="E46" s="6">
        <v>3776.0</v>
      </c>
      <c r="F46" s="6">
        <v>9.76</v>
      </c>
      <c r="G46" s="6">
        <v>4.48</v>
      </c>
      <c r="H46" s="6">
        <v>2.83</v>
      </c>
      <c r="I46" s="6">
        <v>7.92</v>
      </c>
    </row>
    <row r="47">
      <c r="A47" s="6" t="s">
        <v>83</v>
      </c>
      <c r="B47" s="6" t="s">
        <v>45</v>
      </c>
      <c r="C47" s="6" t="s">
        <v>189</v>
      </c>
      <c r="D47" s="6">
        <v>1000.0</v>
      </c>
      <c r="E47" s="6">
        <v>5151.0</v>
      </c>
      <c r="F47" s="6">
        <v>10.02</v>
      </c>
      <c r="G47" s="6">
        <v>4.55</v>
      </c>
      <c r="H47" s="6">
        <v>2.83</v>
      </c>
      <c r="I47" s="6">
        <v>6.06</v>
      </c>
    </row>
    <row r="48">
      <c r="A48" s="6" t="s">
        <v>144</v>
      </c>
      <c r="B48" s="6" t="s">
        <v>45</v>
      </c>
      <c r="C48" s="6" t="s">
        <v>189</v>
      </c>
      <c r="D48" s="6">
        <v>1000.0</v>
      </c>
      <c r="E48" s="6">
        <v>5109.0</v>
      </c>
      <c r="F48" s="6">
        <v>9.93</v>
      </c>
      <c r="G48" s="6">
        <v>4.52</v>
      </c>
      <c r="H48" s="6">
        <v>2.83</v>
      </c>
      <c r="I48" s="6">
        <v>6.0</v>
      </c>
    </row>
    <row r="49">
      <c r="A49" s="6" t="s">
        <v>63</v>
      </c>
      <c r="B49" s="6" t="s">
        <v>45</v>
      </c>
      <c r="C49" s="6" t="s">
        <v>189</v>
      </c>
      <c r="D49" s="6">
        <v>1000.0</v>
      </c>
      <c r="E49" s="6">
        <v>5149.0</v>
      </c>
      <c r="F49" s="6">
        <v>10.03</v>
      </c>
      <c r="G49" s="6">
        <v>4.53</v>
      </c>
      <c r="H49" s="6">
        <v>2.83</v>
      </c>
      <c r="I49" s="6">
        <v>5.78</v>
      </c>
    </row>
    <row r="50">
      <c r="A50" s="6" t="s">
        <v>79</v>
      </c>
      <c r="B50" s="6" t="s">
        <v>45</v>
      </c>
      <c r="C50" s="6" t="s">
        <v>189</v>
      </c>
      <c r="D50" s="6">
        <v>1000.0</v>
      </c>
      <c r="E50" s="6">
        <v>5128.0</v>
      </c>
      <c r="F50" s="6">
        <v>10.04</v>
      </c>
      <c r="G50" s="6">
        <v>4.47</v>
      </c>
      <c r="H50" s="6">
        <v>2.83</v>
      </c>
      <c r="I50" s="6">
        <v>5.69</v>
      </c>
    </row>
    <row r="51">
      <c r="A51" s="6" t="s">
        <v>64</v>
      </c>
      <c r="B51" s="6" t="s">
        <v>45</v>
      </c>
      <c r="C51" s="6" t="s">
        <v>189</v>
      </c>
      <c r="D51" s="6">
        <v>1000.0</v>
      </c>
      <c r="E51" s="6">
        <v>5090.0</v>
      </c>
      <c r="F51" s="6">
        <v>9.82</v>
      </c>
      <c r="G51" s="6">
        <v>4.54</v>
      </c>
      <c r="H51" s="6">
        <v>2.82</v>
      </c>
      <c r="I51" s="6">
        <v>5.96</v>
      </c>
    </row>
    <row r="52">
      <c r="A52" s="6" t="s">
        <v>88</v>
      </c>
      <c r="B52" s="6" t="s">
        <v>45</v>
      </c>
      <c r="C52" s="6" t="s">
        <v>188</v>
      </c>
      <c r="D52" s="6">
        <v>50.0</v>
      </c>
      <c r="E52" s="6">
        <v>504.0</v>
      </c>
      <c r="F52" s="6">
        <v>10.1</v>
      </c>
      <c r="G52" s="6">
        <v>4.44</v>
      </c>
      <c r="H52" s="6">
        <v>1.44</v>
      </c>
      <c r="I52" s="6">
        <v>24.0</v>
      </c>
    </row>
    <row r="53">
      <c r="A53" s="6" t="s">
        <v>135</v>
      </c>
      <c r="B53" s="6" t="s">
        <v>45</v>
      </c>
      <c r="C53" s="6" t="s">
        <v>188</v>
      </c>
      <c r="D53" s="6">
        <v>50.0</v>
      </c>
      <c r="E53" s="6">
        <v>456.0</v>
      </c>
      <c r="F53" s="6">
        <v>8.62</v>
      </c>
      <c r="G53" s="6">
        <v>4.24</v>
      </c>
      <c r="H53" s="6">
        <v>1.41</v>
      </c>
      <c r="I53" s="6">
        <v>19.27</v>
      </c>
    </row>
    <row r="54">
      <c r="A54" s="6" t="s">
        <v>54</v>
      </c>
      <c r="B54" s="6" t="s">
        <v>45</v>
      </c>
      <c r="C54" s="6" t="s">
        <v>188</v>
      </c>
      <c r="D54" s="6">
        <v>50.0</v>
      </c>
      <c r="E54" s="6">
        <v>499.0</v>
      </c>
      <c r="F54" s="6">
        <v>9.66</v>
      </c>
      <c r="G54" s="6">
        <v>4.62</v>
      </c>
      <c r="H54" s="6">
        <v>1.43</v>
      </c>
      <c r="I54" s="6">
        <v>23.27</v>
      </c>
    </row>
    <row r="55">
      <c r="A55" s="6" t="s">
        <v>148</v>
      </c>
      <c r="B55" s="6" t="s">
        <v>45</v>
      </c>
      <c r="C55" s="6" t="s">
        <v>188</v>
      </c>
      <c r="D55" s="6">
        <v>50.0</v>
      </c>
      <c r="E55" s="6">
        <v>510.0</v>
      </c>
      <c r="F55" s="6">
        <v>10.4</v>
      </c>
      <c r="G55" s="6">
        <v>4.9</v>
      </c>
      <c r="H55" s="6">
        <v>1.5</v>
      </c>
      <c r="I55" s="6">
        <v>29.06</v>
      </c>
    </row>
    <row r="56">
      <c r="A56" s="6" t="s">
        <v>76</v>
      </c>
      <c r="B56" s="6" t="s">
        <v>45</v>
      </c>
      <c r="C56" s="6" t="s">
        <v>188</v>
      </c>
      <c r="D56" s="6">
        <v>50.0</v>
      </c>
      <c r="E56" s="6">
        <v>490.0</v>
      </c>
      <c r="F56" s="6">
        <v>9.8</v>
      </c>
      <c r="G56" s="6">
        <v>4.66</v>
      </c>
      <c r="H56" s="6">
        <v>1.48</v>
      </c>
      <c r="I56" s="6">
        <v>25.88</v>
      </c>
    </row>
    <row r="57">
      <c r="A57" s="6" t="s">
        <v>62</v>
      </c>
      <c r="B57" s="6" t="s">
        <v>45</v>
      </c>
      <c r="C57" s="6" t="s">
        <v>188</v>
      </c>
      <c r="D57" s="6">
        <v>75.0</v>
      </c>
      <c r="E57" s="6">
        <v>591.0</v>
      </c>
      <c r="F57" s="6">
        <v>9.47</v>
      </c>
      <c r="G57" s="6">
        <v>4.4</v>
      </c>
      <c r="H57" s="6">
        <v>1.76</v>
      </c>
      <c r="I57" s="6">
        <v>31.24</v>
      </c>
    </row>
    <row r="58">
      <c r="A58" s="6" t="s">
        <v>72</v>
      </c>
      <c r="B58" s="6" t="s">
        <v>45</v>
      </c>
      <c r="C58" s="6" t="s">
        <v>188</v>
      </c>
      <c r="D58" s="6">
        <v>75.0</v>
      </c>
      <c r="E58" s="6">
        <v>681.0</v>
      </c>
      <c r="F58" s="6">
        <v>11.01</v>
      </c>
      <c r="G58" s="6">
        <v>4.65</v>
      </c>
      <c r="H58" s="6">
        <v>1.73</v>
      </c>
      <c r="I58" s="6">
        <v>29.44</v>
      </c>
    </row>
    <row r="59">
      <c r="A59" s="6" t="s">
        <v>74</v>
      </c>
      <c r="B59" s="6" t="s">
        <v>45</v>
      </c>
      <c r="C59" s="6" t="s">
        <v>188</v>
      </c>
      <c r="D59" s="6">
        <v>75.0</v>
      </c>
      <c r="E59" s="6">
        <v>661.0</v>
      </c>
      <c r="F59" s="6">
        <v>10.07</v>
      </c>
      <c r="G59" s="6">
        <v>4.91</v>
      </c>
      <c r="H59" s="6">
        <v>1.7</v>
      </c>
      <c r="I59" s="6">
        <v>26.7</v>
      </c>
    </row>
    <row r="60">
      <c r="A60" s="6" t="s">
        <v>120</v>
      </c>
      <c r="B60" s="6" t="s">
        <v>45</v>
      </c>
      <c r="C60" s="6" t="s">
        <v>188</v>
      </c>
      <c r="D60" s="6">
        <v>75.0</v>
      </c>
      <c r="E60" s="6">
        <v>651.0</v>
      </c>
      <c r="F60" s="6">
        <v>9.97</v>
      </c>
      <c r="G60" s="6">
        <v>4.49</v>
      </c>
      <c r="H60" s="6">
        <v>1.67</v>
      </c>
      <c r="I60" s="6">
        <v>24.97</v>
      </c>
    </row>
    <row r="61">
      <c r="A61" s="6" t="s">
        <v>119</v>
      </c>
      <c r="B61" s="6" t="s">
        <v>45</v>
      </c>
      <c r="C61" s="6" t="s">
        <v>188</v>
      </c>
      <c r="D61" s="6">
        <v>75.0</v>
      </c>
      <c r="E61" s="6">
        <v>646.0</v>
      </c>
      <c r="F61" s="6">
        <v>10.2</v>
      </c>
      <c r="G61" s="6">
        <v>4.24</v>
      </c>
      <c r="H61" s="6">
        <v>1.68</v>
      </c>
      <c r="I61" s="6">
        <v>24.32</v>
      </c>
    </row>
    <row r="62">
      <c r="A62" s="6" t="s">
        <v>101</v>
      </c>
      <c r="B62" s="6" t="s">
        <v>45</v>
      </c>
      <c r="C62" s="6" t="s">
        <v>188</v>
      </c>
      <c r="D62" s="6">
        <v>100.0</v>
      </c>
      <c r="E62" s="6">
        <v>711.0</v>
      </c>
      <c r="F62" s="6">
        <v>9.28</v>
      </c>
      <c r="G62" s="6">
        <v>4.31</v>
      </c>
      <c r="H62" s="6">
        <v>1.91</v>
      </c>
      <c r="I62" s="6">
        <v>28.1</v>
      </c>
    </row>
    <row r="63">
      <c r="A63" s="6" t="s">
        <v>117</v>
      </c>
      <c r="B63" s="6" t="s">
        <v>45</v>
      </c>
      <c r="C63" s="6" t="s">
        <v>188</v>
      </c>
      <c r="D63" s="6">
        <v>100.0</v>
      </c>
      <c r="E63" s="6">
        <v>799.0</v>
      </c>
      <c r="F63" s="6">
        <v>10.88</v>
      </c>
      <c r="G63" s="6">
        <v>4.55</v>
      </c>
      <c r="H63" s="6">
        <v>1.93</v>
      </c>
      <c r="I63" s="6">
        <v>25.21</v>
      </c>
    </row>
    <row r="64">
      <c r="A64" s="6" t="s">
        <v>98</v>
      </c>
      <c r="B64" s="6" t="s">
        <v>45</v>
      </c>
      <c r="C64" s="6" t="s">
        <v>188</v>
      </c>
      <c r="D64" s="6">
        <v>100.0</v>
      </c>
      <c r="E64" s="6">
        <v>742.0</v>
      </c>
      <c r="F64" s="6">
        <v>9.63</v>
      </c>
      <c r="G64" s="6">
        <v>4.47</v>
      </c>
      <c r="H64" s="6">
        <v>1.9</v>
      </c>
      <c r="I64" s="6">
        <v>24.46</v>
      </c>
    </row>
    <row r="65">
      <c r="A65" s="6" t="s">
        <v>143</v>
      </c>
      <c r="B65" s="6" t="s">
        <v>45</v>
      </c>
      <c r="C65" s="6" t="s">
        <v>188</v>
      </c>
      <c r="D65" s="6">
        <v>100.0</v>
      </c>
      <c r="E65" s="6">
        <v>786.0</v>
      </c>
      <c r="F65" s="6">
        <v>10.36</v>
      </c>
      <c r="G65" s="6">
        <v>4.61</v>
      </c>
      <c r="H65" s="6">
        <v>1.9</v>
      </c>
      <c r="I65" s="6">
        <v>25.15</v>
      </c>
    </row>
    <row r="66">
      <c r="A66" s="6" t="s">
        <v>92</v>
      </c>
      <c r="B66" s="6" t="s">
        <v>45</v>
      </c>
      <c r="C66" s="6" t="s">
        <v>188</v>
      </c>
      <c r="D66" s="6">
        <v>100.0</v>
      </c>
      <c r="E66" s="6">
        <v>723.0</v>
      </c>
      <c r="F66" s="6">
        <v>9.43</v>
      </c>
      <c r="G66" s="6">
        <v>4.23</v>
      </c>
      <c r="H66" s="6">
        <v>1.89</v>
      </c>
      <c r="I66" s="6">
        <v>24.91</v>
      </c>
    </row>
    <row r="67">
      <c r="A67" s="6" t="s">
        <v>97</v>
      </c>
      <c r="B67" s="6" t="s">
        <v>45</v>
      </c>
      <c r="C67" s="6" t="s">
        <v>188</v>
      </c>
      <c r="D67" s="6">
        <v>125.0</v>
      </c>
      <c r="E67" s="6">
        <v>827.0</v>
      </c>
      <c r="F67" s="6">
        <v>9.6</v>
      </c>
      <c r="G67" s="6">
        <v>4.29</v>
      </c>
      <c r="H67" s="6">
        <v>2.1</v>
      </c>
      <c r="I67" s="6">
        <v>26.61</v>
      </c>
    </row>
    <row r="68">
      <c r="A68" s="6" t="s">
        <v>121</v>
      </c>
      <c r="B68" s="6" t="s">
        <v>45</v>
      </c>
      <c r="C68" s="6" t="s">
        <v>188</v>
      </c>
      <c r="D68" s="6">
        <v>125.0</v>
      </c>
      <c r="E68" s="6">
        <v>853.0</v>
      </c>
      <c r="F68" s="6">
        <v>10.07</v>
      </c>
      <c r="G68" s="6">
        <v>4.27</v>
      </c>
      <c r="H68" s="6">
        <v>2.1</v>
      </c>
      <c r="I68" s="6">
        <v>24.0</v>
      </c>
    </row>
    <row r="69">
      <c r="A69" s="6" t="s">
        <v>116</v>
      </c>
      <c r="B69" s="6" t="s">
        <v>45</v>
      </c>
      <c r="C69" s="6" t="s">
        <v>188</v>
      </c>
      <c r="D69" s="6">
        <v>125.0</v>
      </c>
      <c r="E69" s="6">
        <v>880.0</v>
      </c>
      <c r="F69" s="6">
        <v>10.19</v>
      </c>
      <c r="G69" s="6">
        <v>4.56</v>
      </c>
      <c r="H69" s="6">
        <v>2.1</v>
      </c>
      <c r="I69" s="6">
        <v>24.03</v>
      </c>
    </row>
    <row r="70">
      <c r="A70" s="6" t="s">
        <v>102</v>
      </c>
      <c r="B70" s="6" t="s">
        <v>45</v>
      </c>
      <c r="C70" s="6" t="s">
        <v>188</v>
      </c>
      <c r="D70" s="6">
        <v>125.0</v>
      </c>
      <c r="E70" s="6">
        <v>859.0</v>
      </c>
      <c r="F70" s="6">
        <v>9.72</v>
      </c>
      <c r="G70" s="6">
        <v>4.54</v>
      </c>
      <c r="H70" s="6">
        <v>2.08</v>
      </c>
      <c r="I70" s="6">
        <v>23.57</v>
      </c>
    </row>
    <row r="71">
      <c r="A71" s="6" t="s">
        <v>147</v>
      </c>
      <c r="B71" s="6" t="s">
        <v>45</v>
      </c>
      <c r="C71" s="6" t="s">
        <v>188</v>
      </c>
      <c r="D71" s="6">
        <v>125.0</v>
      </c>
      <c r="E71" s="6">
        <v>836.0</v>
      </c>
      <c r="F71" s="6">
        <v>9.78</v>
      </c>
      <c r="G71" s="6">
        <v>4.44</v>
      </c>
      <c r="H71" s="6">
        <v>2.13</v>
      </c>
      <c r="I71" s="6">
        <v>25.16</v>
      </c>
    </row>
    <row r="72">
      <c r="A72" s="6" t="s">
        <v>146</v>
      </c>
      <c r="B72" s="6" t="s">
        <v>45</v>
      </c>
      <c r="C72" s="6" t="s">
        <v>188</v>
      </c>
      <c r="D72" s="6">
        <v>150.0</v>
      </c>
      <c r="E72" s="6">
        <v>936.0</v>
      </c>
      <c r="F72" s="6">
        <v>9.98</v>
      </c>
      <c r="G72" s="6">
        <v>4.41</v>
      </c>
      <c r="H72" s="6">
        <v>2.31</v>
      </c>
      <c r="I72" s="6">
        <v>24.05</v>
      </c>
    </row>
    <row r="73">
      <c r="A73" s="6" t="s">
        <v>89</v>
      </c>
      <c r="B73" s="6" t="s">
        <v>45</v>
      </c>
      <c r="C73" s="6" t="s">
        <v>188</v>
      </c>
      <c r="D73" s="6">
        <v>150.0</v>
      </c>
      <c r="E73" s="6">
        <v>955.0</v>
      </c>
      <c r="F73" s="6">
        <v>10.11</v>
      </c>
      <c r="G73" s="6">
        <v>4.57</v>
      </c>
      <c r="H73" s="6">
        <v>2.31</v>
      </c>
      <c r="I73" s="6">
        <v>24.52</v>
      </c>
    </row>
    <row r="74">
      <c r="A74" s="6" t="s">
        <v>47</v>
      </c>
      <c r="B74" s="6" t="s">
        <v>45</v>
      </c>
      <c r="C74" s="6" t="s">
        <v>188</v>
      </c>
      <c r="D74" s="6">
        <v>150.0</v>
      </c>
      <c r="E74" s="6">
        <v>924.0</v>
      </c>
      <c r="F74" s="6">
        <v>9.89</v>
      </c>
      <c r="G74" s="6">
        <v>4.44</v>
      </c>
      <c r="H74" s="6">
        <v>2.33</v>
      </c>
      <c r="I74" s="6">
        <v>23.0</v>
      </c>
    </row>
    <row r="75">
      <c r="A75" s="6" t="s">
        <v>137</v>
      </c>
      <c r="B75" s="6" t="s">
        <v>45</v>
      </c>
      <c r="C75" s="6" t="s">
        <v>188</v>
      </c>
      <c r="D75" s="6">
        <v>150.0</v>
      </c>
      <c r="E75" s="6">
        <v>920.0</v>
      </c>
      <c r="F75" s="6">
        <v>10.12</v>
      </c>
      <c r="G75" s="6">
        <v>4.39</v>
      </c>
      <c r="H75" s="6">
        <v>2.37</v>
      </c>
      <c r="I75" s="6">
        <v>25.08</v>
      </c>
    </row>
    <row r="76">
      <c r="A76" s="6" t="s">
        <v>136</v>
      </c>
      <c r="B76" s="6" t="s">
        <v>45</v>
      </c>
      <c r="C76" s="6" t="s">
        <v>188</v>
      </c>
      <c r="D76" s="6">
        <v>150.0</v>
      </c>
      <c r="E76" s="6">
        <v>959.0</v>
      </c>
      <c r="F76" s="6">
        <v>10.26</v>
      </c>
      <c r="G76" s="6">
        <v>4.71</v>
      </c>
      <c r="H76" s="6">
        <v>2.34</v>
      </c>
      <c r="I76" s="6">
        <v>27.42</v>
      </c>
    </row>
    <row r="77">
      <c r="A77" s="6" t="s">
        <v>128</v>
      </c>
      <c r="B77" s="6" t="s">
        <v>45</v>
      </c>
      <c r="C77" s="6" t="s">
        <v>188</v>
      </c>
      <c r="D77" s="6">
        <v>200.0</v>
      </c>
      <c r="E77" s="6">
        <v>1045.0</v>
      </c>
      <c r="F77" s="6">
        <v>9.88</v>
      </c>
      <c r="G77" s="6">
        <v>4.5</v>
      </c>
      <c r="H77" s="6">
        <v>2.75</v>
      </c>
      <c r="I77" s="6">
        <v>24.52</v>
      </c>
    </row>
    <row r="78">
      <c r="A78" s="6" t="s">
        <v>68</v>
      </c>
      <c r="B78" s="6" t="s">
        <v>45</v>
      </c>
      <c r="C78" s="6" t="s">
        <v>188</v>
      </c>
      <c r="D78" s="6">
        <v>200.0</v>
      </c>
      <c r="E78" s="6">
        <v>1049.0</v>
      </c>
      <c r="F78" s="6">
        <v>10.12</v>
      </c>
      <c r="G78" s="6">
        <v>4.42</v>
      </c>
      <c r="H78" s="6">
        <v>2.77</v>
      </c>
      <c r="I78" s="6">
        <v>25.11</v>
      </c>
    </row>
    <row r="79">
      <c r="A79" s="6" t="s">
        <v>112</v>
      </c>
      <c r="B79" s="6" t="s">
        <v>45</v>
      </c>
      <c r="C79" s="6" t="s">
        <v>188</v>
      </c>
      <c r="D79" s="6">
        <v>200.0</v>
      </c>
      <c r="E79" s="6">
        <v>1012.0</v>
      </c>
      <c r="F79" s="6">
        <v>9.68</v>
      </c>
      <c r="G79" s="6">
        <v>4.31</v>
      </c>
      <c r="H79" s="6">
        <v>2.76</v>
      </c>
      <c r="I79" s="6">
        <v>23.56</v>
      </c>
    </row>
    <row r="80">
      <c r="A80" s="6" t="s">
        <v>145</v>
      </c>
      <c r="B80" s="6" t="s">
        <v>45</v>
      </c>
      <c r="C80" s="6" t="s">
        <v>188</v>
      </c>
      <c r="D80" s="6">
        <v>200.0</v>
      </c>
      <c r="E80" s="6">
        <v>1027.0</v>
      </c>
      <c r="F80" s="6">
        <v>9.86</v>
      </c>
      <c r="G80" s="6">
        <v>4.36</v>
      </c>
      <c r="H80" s="6">
        <v>2.77</v>
      </c>
      <c r="I80" s="6">
        <v>23.66</v>
      </c>
    </row>
    <row r="81">
      <c r="A81" s="6" t="s">
        <v>56</v>
      </c>
      <c r="B81" s="6" t="s">
        <v>45</v>
      </c>
      <c r="C81" s="6" t="s">
        <v>188</v>
      </c>
      <c r="D81" s="6">
        <v>200.0</v>
      </c>
      <c r="E81" s="6">
        <v>1052.0</v>
      </c>
      <c r="F81" s="6">
        <v>10.08</v>
      </c>
      <c r="G81" s="6">
        <v>4.39</v>
      </c>
      <c r="H81" s="6">
        <v>2.75</v>
      </c>
      <c r="I81" s="6">
        <v>24.29</v>
      </c>
    </row>
    <row r="82">
      <c r="A82" s="6" t="s">
        <v>125</v>
      </c>
      <c r="B82" s="6" t="s">
        <v>45</v>
      </c>
      <c r="C82" s="6" t="s">
        <v>187</v>
      </c>
      <c r="D82" s="6">
        <v>10.0</v>
      </c>
      <c r="E82" s="6">
        <v>142.0</v>
      </c>
      <c r="F82" s="6">
        <v>10.9</v>
      </c>
      <c r="G82" s="6">
        <v>5.2</v>
      </c>
      <c r="H82" s="6">
        <v>1.13</v>
      </c>
      <c r="I82" s="6">
        <v>44.44</v>
      </c>
    </row>
    <row r="83">
      <c r="A83" s="6" t="s">
        <v>111</v>
      </c>
      <c r="B83" s="6" t="s">
        <v>45</v>
      </c>
      <c r="C83" s="6" t="s">
        <v>187</v>
      </c>
      <c r="D83" s="6">
        <v>10.0</v>
      </c>
      <c r="E83" s="6">
        <v>146.0</v>
      </c>
      <c r="F83" s="6">
        <v>10.9</v>
      </c>
      <c r="G83" s="6">
        <v>5.0</v>
      </c>
      <c r="H83" s="6">
        <v>1.09</v>
      </c>
      <c r="I83" s="6">
        <v>26.67</v>
      </c>
    </row>
    <row r="84">
      <c r="A84" s="6" t="s">
        <v>133</v>
      </c>
      <c r="B84" s="6" t="s">
        <v>45</v>
      </c>
      <c r="C84" s="6" t="s">
        <v>187</v>
      </c>
      <c r="D84" s="6">
        <v>10.0</v>
      </c>
      <c r="E84" s="6">
        <v>148.0</v>
      </c>
      <c r="F84" s="6">
        <v>11.4</v>
      </c>
      <c r="G84" s="6">
        <v>4.9</v>
      </c>
      <c r="H84" s="6">
        <v>1.1</v>
      </c>
      <c r="I84" s="6">
        <v>28.89</v>
      </c>
    </row>
    <row r="85">
      <c r="A85" s="6" t="s">
        <v>124</v>
      </c>
      <c r="B85" s="6" t="s">
        <v>45</v>
      </c>
      <c r="C85" s="6" t="s">
        <v>187</v>
      </c>
      <c r="D85" s="6">
        <v>10.0</v>
      </c>
      <c r="E85" s="6">
        <v>140.0</v>
      </c>
      <c r="F85" s="6">
        <v>11.5</v>
      </c>
      <c r="G85" s="6">
        <v>3.9</v>
      </c>
      <c r="H85" s="6">
        <v>1.1</v>
      </c>
      <c r="I85" s="6">
        <v>28.89</v>
      </c>
    </row>
    <row r="86">
      <c r="A86" s="6" t="s">
        <v>49</v>
      </c>
      <c r="B86" s="6" t="s">
        <v>45</v>
      </c>
      <c r="C86" s="6" t="s">
        <v>187</v>
      </c>
      <c r="D86" s="6">
        <v>10.0</v>
      </c>
      <c r="E86" s="6">
        <v>142.0</v>
      </c>
      <c r="F86" s="6">
        <v>11.0</v>
      </c>
      <c r="G86" s="6">
        <v>4.8</v>
      </c>
      <c r="H86" s="6">
        <v>1.11</v>
      </c>
      <c r="I86" s="6">
        <v>35.56</v>
      </c>
    </row>
    <row r="87">
      <c r="A87" s="6" t="s">
        <v>130</v>
      </c>
      <c r="B87" s="6" t="s">
        <v>45</v>
      </c>
      <c r="C87" s="6" t="s">
        <v>187</v>
      </c>
      <c r="D87" s="6">
        <v>15.0</v>
      </c>
      <c r="E87" s="6">
        <v>181.0</v>
      </c>
      <c r="F87" s="6">
        <v>7.6</v>
      </c>
      <c r="G87" s="6">
        <v>5.73</v>
      </c>
      <c r="H87" s="6">
        <v>1.1</v>
      </c>
      <c r="I87" s="6">
        <v>17.14</v>
      </c>
    </row>
    <row r="88">
      <c r="A88" s="6" t="s">
        <v>140</v>
      </c>
      <c r="B88" s="6" t="s">
        <v>45</v>
      </c>
      <c r="C88" s="6" t="s">
        <v>187</v>
      </c>
      <c r="D88" s="6">
        <v>15.0</v>
      </c>
      <c r="E88" s="6">
        <v>186.0</v>
      </c>
      <c r="F88" s="6">
        <v>9.53</v>
      </c>
      <c r="G88" s="6">
        <v>4.6</v>
      </c>
      <c r="H88" s="6">
        <v>1.14</v>
      </c>
      <c r="I88" s="6">
        <v>26.67</v>
      </c>
    </row>
    <row r="89">
      <c r="A89" s="6" t="s">
        <v>60</v>
      </c>
      <c r="B89" s="6" t="s">
        <v>45</v>
      </c>
      <c r="C89" s="6" t="s">
        <v>187</v>
      </c>
      <c r="D89" s="6">
        <v>15.0</v>
      </c>
      <c r="E89" s="6">
        <v>179.0</v>
      </c>
      <c r="F89" s="6">
        <v>8.53</v>
      </c>
      <c r="G89" s="6">
        <v>5.07</v>
      </c>
      <c r="H89" s="6">
        <v>1.14</v>
      </c>
      <c r="I89" s="6">
        <v>24.76</v>
      </c>
    </row>
    <row r="90">
      <c r="A90" s="6" t="s">
        <v>59</v>
      </c>
      <c r="B90" s="6" t="s">
        <v>45</v>
      </c>
      <c r="C90" s="6" t="s">
        <v>187</v>
      </c>
      <c r="D90" s="6">
        <v>15.0</v>
      </c>
      <c r="E90" s="6">
        <v>186.0</v>
      </c>
      <c r="F90" s="6">
        <v>9.47</v>
      </c>
      <c r="G90" s="6">
        <v>4.67</v>
      </c>
      <c r="H90" s="6">
        <v>1.14</v>
      </c>
      <c r="I90" s="6">
        <v>22.86</v>
      </c>
    </row>
    <row r="91">
      <c r="A91" s="6" t="s">
        <v>50</v>
      </c>
      <c r="B91" s="6" t="s">
        <v>45</v>
      </c>
      <c r="C91" s="6" t="s">
        <v>187</v>
      </c>
      <c r="D91" s="6">
        <v>15.0</v>
      </c>
      <c r="E91" s="6">
        <v>174.0</v>
      </c>
      <c r="F91" s="6">
        <v>8.73</v>
      </c>
      <c r="G91" s="6">
        <v>4.33</v>
      </c>
      <c r="H91" s="6">
        <v>1.13</v>
      </c>
      <c r="I91" s="6">
        <v>20.0</v>
      </c>
    </row>
    <row r="92">
      <c r="A92" s="6" t="s">
        <v>95</v>
      </c>
      <c r="B92" s="6" t="s">
        <v>45</v>
      </c>
      <c r="C92" s="6" t="s">
        <v>187</v>
      </c>
      <c r="D92" s="6">
        <v>20.0</v>
      </c>
      <c r="E92" s="6">
        <v>229.0</v>
      </c>
      <c r="F92" s="6">
        <v>9.05</v>
      </c>
      <c r="G92" s="6">
        <v>4.15</v>
      </c>
      <c r="H92" s="6">
        <v>1.15</v>
      </c>
      <c r="I92" s="6">
        <v>21.05</v>
      </c>
    </row>
    <row r="93">
      <c r="A93" s="6" t="s">
        <v>73</v>
      </c>
      <c r="B93" s="6" t="s">
        <v>45</v>
      </c>
      <c r="C93" s="6" t="s">
        <v>187</v>
      </c>
      <c r="D93" s="6">
        <v>20.0</v>
      </c>
      <c r="E93" s="6">
        <v>242.0</v>
      </c>
      <c r="F93" s="6">
        <v>10.25</v>
      </c>
      <c r="G93" s="6">
        <v>3.9</v>
      </c>
      <c r="H93" s="6">
        <v>1.17</v>
      </c>
      <c r="I93" s="6">
        <v>24.74</v>
      </c>
    </row>
    <row r="94">
      <c r="A94" s="6" t="s">
        <v>46</v>
      </c>
      <c r="B94" s="6" t="s">
        <v>45</v>
      </c>
      <c r="C94" s="6" t="s">
        <v>187</v>
      </c>
      <c r="D94" s="6">
        <v>20.0</v>
      </c>
      <c r="E94" s="6">
        <v>228.0</v>
      </c>
      <c r="F94" s="6">
        <v>8.6</v>
      </c>
      <c r="G94" s="6">
        <v>4.35</v>
      </c>
      <c r="H94" s="6">
        <v>1.14</v>
      </c>
      <c r="I94" s="6">
        <v>17.37</v>
      </c>
    </row>
    <row r="95">
      <c r="A95" s="6" t="s">
        <v>103</v>
      </c>
      <c r="B95" s="6" t="s">
        <v>45</v>
      </c>
      <c r="C95" s="6" t="s">
        <v>187</v>
      </c>
      <c r="D95" s="6">
        <v>20.0</v>
      </c>
      <c r="E95" s="6">
        <v>243.0</v>
      </c>
      <c r="F95" s="6">
        <v>10.0</v>
      </c>
      <c r="G95" s="6">
        <v>4.3</v>
      </c>
      <c r="H95" s="6">
        <v>1.18</v>
      </c>
      <c r="I95" s="6">
        <v>24.21</v>
      </c>
    </row>
    <row r="96">
      <c r="A96" s="6" t="s">
        <v>131</v>
      </c>
      <c r="B96" s="6" t="s">
        <v>45</v>
      </c>
      <c r="C96" s="6" t="s">
        <v>187</v>
      </c>
      <c r="D96" s="6">
        <v>20.0</v>
      </c>
      <c r="E96" s="6">
        <v>237.0</v>
      </c>
      <c r="F96" s="6">
        <v>10.0</v>
      </c>
      <c r="G96" s="6">
        <v>4.2</v>
      </c>
      <c r="H96" s="6">
        <v>1.2</v>
      </c>
      <c r="I96" s="6">
        <v>26.84</v>
      </c>
    </row>
    <row r="97">
      <c r="A97" s="6" t="s">
        <v>115</v>
      </c>
      <c r="B97" s="6" t="s">
        <v>45</v>
      </c>
      <c r="C97" s="6" t="s">
        <v>187</v>
      </c>
      <c r="D97" s="6">
        <v>25.0</v>
      </c>
      <c r="E97" s="6">
        <v>291.0</v>
      </c>
      <c r="F97" s="6">
        <v>9.64</v>
      </c>
      <c r="G97" s="6">
        <v>4.2</v>
      </c>
      <c r="H97" s="6">
        <v>1.19</v>
      </c>
      <c r="I97" s="6">
        <v>18.67</v>
      </c>
    </row>
    <row r="98">
      <c r="A98" s="6" t="s">
        <v>71</v>
      </c>
      <c r="B98" s="6" t="s">
        <v>45</v>
      </c>
      <c r="C98" s="6" t="s">
        <v>187</v>
      </c>
      <c r="D98" s="6">
        <v>25.0</v>
      </c>
      <c r="E98" s="6">
        <v>292.0</v>
      </c>
      <c r="F98" s="6">
        <v>10.44</v>
      </c>
      <c r="G98" s="6">
        <v>3.96</v>
      </c>
      <c r="H98" s="6">
        <v>1.23</v>
      </c>
      <c r="I98" s="6">
        <v>25.67</v>
      </c>
    </row>
    <row r="99">
      <c r="A99" s="6" t="s">
        <v>87</v>
      </c>
      <c r="B99" s="6" t="s">
        <v>45</v>
      </c>
      <c r="C99" s="6" t="s">
        <v>187</v>
      </c>
      <c r="D99" s="6">
        <v>25.0</v>
      </c>
      <c r="E99" s="6">
        <v>287.0</v>
      </c>
      <c r="F99" s="6">
        <v>9.36</v>
      </c>
      <c r="G99" s="6">
        <v>4.48</v>
      </c>
      <c r="H99" s="6">
        <v>1.21</v>
      </c>
      <c r="I99" s="6">
        <v>21.33</v>
      </c>
    </row>
    <row r="100">
      <c r="A100" s="6" t="s">
        <v>44</v>
      </c>
      <c r="B100" s="6" t="s">
        <v>45</v>
      </c>
      <c r="C100" s="6" t="s">
        <v>187</v>
      </c>
      <c r="D100" s="6">
        <v>25.0</v>
      </c>
      <c r="E100" s="6">
        <v>320.0</v>
      </c>
      <c r="F100" s="6">
        <v>11.2</v>
      </c>
      <c r="G100" s="6">
        <v>4.76</v>
      </c>
      <c r="H100" s="6">
        <v>1.25</v>
      </c>
      <c r="I100" s="6">
        <v>28.0</v>
      </c>
    </row>
    <row r="101">
      <c r="A101" s="6" t="s">
        <v>134</v>
      </c>
      <c r="B101" s="6" t="s">
        <v>45</v>
      </c>
      <c r="C101" s="6" t="s">
        <v>187</v>
      </c>
      <c r="D101" s="6">
        <v>25.0</v>
      </c>
      <c r="E101" s="6">
        <v>308.0</v>
      </c>
      <c r="F101" s="6">
        <v>10.68</v>
      </c>
      <c r="G101" s="6">
        <v>4.36</v>
      </c>
      <c r="H101" s="6">
        <v>1.22</v>
      </c>
      <c r="I101" s="6">
        <v>24.0</v>
      </c>
    </row>
    <row r="102">
      <c r="A102" s="6" t="s">
        <v>153</v>
      </c>
      <c r="B102" s="6" t="s">
        <v>45</v>
      </c>
      <c r="C102" s="6" t="s">
        <v>187</v>
      </c>
      <c r="D102" s="6">
        <v>30.0</v>
      </c>
      <c r="E102" s="6">
        <v>306.0</v>
      </c>
      <c r="F102" s="6">
        <v>8.77</v>
      </c>
      <c r="G102" s="6">
        <v>3.87</v>
      </c>
      <c r="H102" s="6">
        <v>1.24</v>
      </c>
      <c r="I102" s="6">
        <v>19.08</v>
      </c>
    </row>
    <row r="103">
      <c r="A103" s="6" t="s">
        <v>51</v>
      </c>
      <c r="B103" s="6" t="s">
        <v>45</v>
      </c>
      <c r="C103" s="6" t="s">
        <v>187</v>
      </c>
      <c r="D103" s="6">
        <v>30.0</v>
      </c>
      <c r="E103" s="6">
        <v>317.0</v>
      </c>
      <c r="F103" s="6">
        <v>9.07</v>
      </c>
      <c r="G103" s="6">
        <v>4.53</v>
      </c>
      <c r="H103" s="6">
        <v>1.29</v>
      </c>
      <c r="I103" s="6">
        <v>24.14</v>
      </c>
    </row>
    <row r="104">
      <c r="A104" s="6" t="s">
        <v>96</v>
      </c>
      <c r="B104" s="6" t="s">
        <v>45</v>
      </c>
      <c r="C104" s="6" t="s">
        <v>187</v>
      </c>
      <c r="D104" s="6">
        <v>30.0</v>
      </c>
      <c r="E104" s="6">
        <v>344.0</v>
      </c>
      <c r="F104" s="6">
        <v>10.17</v>
      </c>
      <c r="G104" s="6">
        <v>4.53</v>
      </c>
      <c r="H104" s="6">
        <v>1.28</v>
      </c>
      <c r="I104" s="6">
        <v>25.06</v>
      </c>
    </row>
    <row r="105">
      <c r="A105" s="6" t="s">
        <v>106</v>
      </c>
      <c r="B105" s="6" t="s">
        <v>45</v>
      </c>
      <c r="C105" s="6" t="s">
        <v>187</v>
      </c>
      <c r="D105" s="6">
        <v>30.0</v>
      </c>
      <c r="E105" s="6">
        <v>320.0</v>
      </c>
      <c r="F105" s="6">
        <v>9.43</v>
      </c>
      <c r="G105" s="6">
        <v>4.4</v>
      </c>
      <c r="H105" s="6">
        <v>1.3</v>
      </c>
      <c r="I105" s="6">
        <v>24.83</v>
      </c>
    </row>
    <row r="106">
      <c r="A106" s="6" t="s">
        <v>91</v>
      </c>
      <c r="B106" s="6" t="s">
        <v>45</v>
      </c>
      <c r="C106" s="6" t="s">
        <v>187</v>
      </c>
      <c r="D106" s="6">
        <v>30.0</v>
      </c>
      <c r="E106" s="6">
        <v>332.0</v>
      </c>
      <c r="F106" s="6">
        <v>9.6</v>
      </c>
      <c r="G106" s="6">
        <v>4.5</v>
      </c>
      <c r="H106" s="6">
        <v>1.27</v>
      </c>
      <c r="I106" s="6">
        <v>26.21</v>
      </c>
    </row>
    <row r="107">
      <c r="A107" s="6" t="s">
        <v>66</v>
      </c>
      <c r="B107" s="6" t="s">
        <v>45</v>
      </c>
      <c r="C107" s="6" t="s">
        <v>187</v>
      </c>
      <c r="D107" s="6">
        <v>40.0</v>
      </c>
      <c r="E107" s="6">
        <v>413.0</v>
      </c>
      <c r="F107" s="6">
        <v>10.18</v>
      </c>
      <c r="G107" s="6">
        <v>4.03</v>
      </c>
      <c r="H107" s="6">
        <v>1.38</v>
      </c>
      <c r="I107" s="6">
        <v>24.62</v>
      </c>
    </row>
    <row r="108">
      <c r="A108" s="6" t="s">
        <v>75</v>
      </c>
      <c r="B108" s="6" t="s">
        <v>45</v>
      </c>
      <c r="C108" s="6" t="s">
        <v>187</v>
      </c>
      <c r="D108" s="6">
        <v>40.0</v>
      </c>
      <c r="E108" s="6">
        <v>400.0</v>
      </c>
      <c r="F108" s="6">
        <v>9.55</v>
      </c>
      <c r="G108" s="6">
        <v>4.08</v>
      </c>
      <c r="H108" s="6">
        <v>1.36</v>
      </c>
      <c r="I108" s="6">
        <v>21.92</v>
      </c>
    </row>
    <row r="109">
      <c r="A109" s="6" t="s">
        <v>58</v>
      </c>
      <c r="B109" s="6" t="s">
        <v>45</v>
      </c>
      <c r="C109" s="6" t="s">
        <v>187</v>
      </c>
      <c r="D109" s="6">
        <v>40.0</v>
      </c>
      <c r="E109" s="6">
        <v>421.0</v>
      </c>
      <c r="F109" s="6">
        <v>10.93</v>
      </c>
      <c r="G109" s="6">
        <v>3.85</v>
      </c>
      <c r="H109" s="6">
        <v>1.4</v>
      </c>
      <c r="I109" s="6">
        <v>25.0</v>
      </c>
    </row>
    <row r="110">
      <c r="A110" s="6" t="s">
        <v>108</v>
      </c>
      <c r="B110" s="6" t="s">
        <v>45</v>
      </c>
      <c r="C110" s="6" t="s">
        <v>187</v>
      </c>
      <c r="D110" s="6">
        <v>40.0</v>
      </c>
      <c r="E110" s="6">
        <v>429.0</v>
      </c>
      <c r="F110" s="6">
        <v>10.28</v>
      </c>
      <c r="G110" s="6">
        <v>4.78</v>
      </c>
      <c r="H110" s="6">
        <v>1.4</v>
      </c>
      <c r="I110" s="6">
        <v>27.69</v>
      </c>
    </row>
    <row r="111">
      <c r="A111" s="6" t="s">
        <v>122</v>
      </c>
      <c r="B111" s="6" t="s">
        <v>45</v>
      </c>
      <c r="C111" s="6" t="s">
        <v>187</v>
      </c>
      <c r="D111" s="6">
        <v>40.0</v>
      </c>
      <c r="E111" s="6">
        <v>457.0</v>
      </c>
      <c r="F111" s="6">
        <v>10.57</v>
      </c>
      <c r="G111" s="6">
        <v>5.03</v>
      </c>
      <c r="H111" s="6">
        <v>1.37</v>
      </c>
      <c r="I111" s="6">
        <v>26.92</v>
      </c>
    </row>
  </sheetData>
  <autoFilter ref="$A$1:$I$11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63"/>
    <col customWidth="1" min="3" max="3" width="18.25"/>
    <col customWidth="1" min="4" max="4" width="12.63"/>
    <col customWidth="1" min="6" max="6" width="19.75"/>
    <col customWidth="1" min="7" max="7" width="15.63"/>
    <col customWidth="1" min="8" max="8" width="16.88"/>
    <col customWidth="1" min="9" max="9" width="20.25"/>
  </cols>
  <sheetData>
    <row r="1">
      <c r="A1" s="6" t="s">
        <v>38</v>
      </c>
      <c r="B1" s="6" t="s">
        <v>39</v>
      </c>
      <c r="C1" s="6" t="s">
        <v>40</v>
      </c>
      <c r="D1" s="6" t="s">
        <v>155</v>
      </c>
      <c r="E1" s="6" t="s">
        <v>156</v>
      </c>
      <c r="F1" s="6" t="s">
        <v>157</v>
      </c>
      <c r="G1" s="6" t="s">
        <v>158</v>
      </c>
      <c r="H1" s="6" t="s">
        <v>159</v>
      </c>
      <c r="I1" s="6" t="s">
        <v>160</v>
      </c>
      <c r="J1" s="6" t="s">
        <v>161</v>
      </c>
      <c r="K1" s="6" t="s">
        <v>162</v>
      </c>
      <c r="L1" s="6" t="s">
        <v>163</v>
      </c>
    </row>
    <row r="2">
      <c r="A2" s="6" t="s">
        <v>93</v>
      </c>
      <c r="B2" s="6" t="s">
        <v>53</v>
      </c>
      <c r="C2" s="6">
        <v>10.0</v>
      </c>
      <c r="D2" s="6">
        <v>185.0</v>
      </c>
      <c r="E2" s="6">
        <v>0.0</v>
      </c>
      <c r="F2" s="6">
        <v>3.0</v>
      </c>
      <c r="G2" s="10">
        <f t="shared" ref="G2:G111" si="1">C2/F2</f>
        <v>3.333333333</v>
      </c>
      <c r="H2" s="6">
        <v>70.0</v>
      </c>
      <c r="I2" s="6">
        <v>0.0</v>
      </c>
      <c r="J2" s="6">
        <v>1.0</v>
      </c>
      <c r="K2" s="6">
        <v>1.0</v>
      </c>
      <c r="L2" s="6">
        <v>1.0</v>
      </c>
    </row>
    <row r="3">
      <c r="A3" s="6" t="s">
        <v>36</v>
      </c>
      <c r="B3" s="6" t="s">
        <v>53</v>
      </c>
      <c r="C3" s="6">
        <v>10.0</v>
      </c>
      <c r="D3" s="6">
        <v>159.0</v>
      </c>
      <c r="E3" s="6">
        <v>0.0</v>
      </c>
      <c r="F3" s="6">
        <v>3.0</v>
      </c>
      <c r="G3" s="10">
        <f t="shared" si="1"/>
        <v>3.333333333</v>
      </c>
      <c r="H3" s="6">
        <v>119.0</v>
      </c>
      <c r="I3" s="6">
        <v>0.0</v>
      </c>
      <c r="J3" s="6">
        <v>2.0</v>
      </c>
      <c r="K3" s="6">
        <v>1.0</v>
      </c>
      <c r="L3" s="6">
        <v>0.0</v>
      </c>
    </row>
    <row r="4">
      <c r="A4" s="6" t="s">
        <v>55</v>
      </c>
      <c r="B4" s="6" t="s">
        <v>53</v>
      </c>
      <c r="C4" s="6">
        <v>15.0</v>
      </c>
      <c r="D4" s="6">
        <v>378.0</v>
      </c>
      <c r="E4" s="6">
        <v>0.1</v>
      </c>
      <c r="F4" s="6">
        <v>5.0</v>
      </c>
      <c r="G4" s="10">
        <f t="shared" si="1"/>
        <v>3</v>
      </c>
      <c r="H4" s="6">
        <v>158.0</v>
      </c>
      <c r="I4" s="6">
        <v>0.0</v>
      </c>
      <c r="J4" s="6">
        <v>3.0</v>
      </c>
      <c r="K4" s="6">
        <v>2.0</v>
      </c>
      <c r="L4" s="6">
        <v>0.0</v>
      </c>
    </row>
    <row r="5">
      <c r="A5" s="6" t="s">
        <v>141</v>
      </c>
      <c r="B5" s="6" t="s">
        <v>53</v>
      </c>
      <c r="C5" s="6">
        <v>15.0</v>
      </c>
      <c r="D5" s="6">
        <v>247.0</v>
      </c>
      <c r="E5" s="6">
        <v>0.1</v>
      </c>
      <c r="F5" s="6">
        <v>4.0</v>
      </c>
      <c r="G5" s="10">
        <f t="shared" si="1"/>
        <v>3.75</v>
      </c>
      <c r="H5" s="6">
        <v>107.0</v>
      </c>
      <c r="I5" s="6">
        <v>0.0</v>
      </c>
      <c r="J5" s="6">
        <v>2.0</v>
      </c>
      <c r="K5" s="6">
        <v>1.0</v>
      </c>
      <c r="L5" s="6">
        <v>1.0</v>
      </c>
    </row>
    <row r="6">
      <c r="A6" s="6" t="s">
        <v>109</v>
      </c>
      <c r="B6" s="6" t="s">
        <v>53</v>
      </c>
      <c r="C6" s="6">
        <v>20.0</v>
      </c>
      <c r="D6" s="6">
        <v>419.0</v>
      </c>
      <c r="E6" s="6">
        <v>0.1</v>
      </c>
      <c r="F6" s="6">
        <v>6.0</v>
      </c>
      <c r="G6" s="10">
        <f t="shared" si="1"/>
        <v>3.333333333</v>
      </c>
      <c r="H6" s="6">
        <v>179.0</v>
      </c>
      <c r="I6" s="6">
        <v>0.0</v>
      </c>
      <c r="J6" s="6">
        <v>2.0</v>
      </c>
      <c r="K6" s="6">
        <v>2.0</v>
      </c>
      <c r="L6" s="6">
        <v>2.0</v>
      </c>
    </row>
    <row r="7">
      <c r="A7" s="6" t="s">
        <v>85</v>
      </c>
      <c r="B7" s="6" t="s">
        <v>53</v>
      </c>
      <c r="C7" s="6">
        <v>20.0</v>
      </c>
      <c r="D7" s="6">
        <v>363.0</v>
      </c>
      <c r="E7" s="6">
        <v>0.1</v>
      </c>
      <c r="F7" s="6">
        <v>7.0</v>
      </c>
      <c r="G7" s="10">
        <f t="shared" si="1"/>
        <v>2.857142857</v>
      </c>
      <c r="H7" s="6">
        <v>168.0</v>
      </c>
      <c r="I7" s="6">
        <v>0.0</v>
      </c>
      <c r="J7" s="6">
        <v>4.0</v>
      </c>
      <c r="K7" s="6">
        <v>3.0</v>
      </c>
      <c r="L7" s="6">
        <v>0.0</v>
      </c>
    </row>
    <row r="8">
      <c r="A8" s="6" t="s">
        <v>105</v>
      </c>
      <c r="B8" s="6" t="s">
        <v>53</v>
      </c>
      <c r="C8" s="6">
        <v>25.0</v>
      </c>
      <c r="D8" s="6">
        <v>467.0</v>
      </c>
      <c r="E8" s="6">
        <v>0.2</v>
      </c>
      <c r="F8" s="6">
        <v>10.0</v>
      </c>
      <c r="G8" s="10">
        <f t="shared" si="1"/>
        <v>2.5</v>
      </c>
      <c r="H8" s="6">
        <v>217.0</v>
      </c>
      <c r="I8" s="6">
        <v>0.0</v>
      </c>
      <c r="J8" s="6">
        <v>7.0</v>
      </c>
      <c r="K8" s="6">
        <v>2.0</v>
      </c>
      <c r="L8" s="6">
        <v>1.0</v>
      </c>
    </row>
    <row r="9">
      <c r="A9" s="6" t="s">
        <v>126</v>
      </c>
      <c r="B9" s="6" t="s">
        <v>53</v>
      </c>
      <c r="C9" s="6">
        <v>30.0</v>
      </c>
      <c r="D9" s="6">
        <v>513.0</v>
      </c>
      <c r="E9" s="6">
        <v>0.2</v>
      </c>
      <c r="F9" s="6">
        <v>10.0</v>
      </c>
      <c r="G9" s="10">
        <f t="shared" si="1"/>
        <v>3</v>
      </c>
      <c r="H9" s="6">
        <v>283.0</v>
      </c>
      <c r="I9" s="6">
        <v>0.0</v>
      </c>
      <c r="J9" s="6">
        <v>6.0</v>
      </c>
      <c r="K9" s="6">
        <v>3.0</v>
      </c>
      <c r="L9" s="6">
        <v>1.0</v>
      </c>
    </row>
    <row r="10">
      <c r="A10" s="6" t="s">
        <v>65</v>
      </c>
      <c r="B10" s="6" t="s">
        <v>53</v>
      </c>
      <c r="C10" s="6">
        <v>30.0</v>
      </c>
      <c r="D10" s="6">
        <v>757.0</v>
      </c>
      <c r="E10" s="6">
        <v>0.2</v>
      </c>
      <c r="F10" s="6">
        <v>10.0</v>
      </c>
      <c r="G10" s="10">
        <f t="shared" si="1"/>
        <v>3</v>
      </c>
      <c r="H10" s="6">
        <v>232.0</v>
      </c>
      <c r="I10" s="6">
        <v>0.0</v>
      </c>
      <c r="J10" s="6">
        <v>5.0</v>
      </c>
      <c r="K10" s="6">
        <v>3.0</v>
      </c>
      <c r="L10" s="6">
        <v>2.0</v>
      </c>
    </row>
    <row r="11">
      <c r="A11" s="6" t="s">
        <v>114</v>
      </c>
      <c r="B11" s="6" t="s">
        <v>53</v>
      </c>
      <c r="C11" s="6">
        <v>40.0</v>
      </c>
      <c r="D11" s="6">
        <v>881.0</v>
      </c>
      <c r="E11" s="6">
        <v>0.4</v>
      </c>
      <c r="F11" s="6">
        <v>13.0</v>
      </c>
      <c r="G11" s="10">
        <f t="shared" si="1"/>
        <v>3.076923077</v>
      </c>
      <c r="H11" s="6">
        <v>256.0</v>
      </c>
      <c r="I11" s="6">
        <v>0.0</v>
      </c>
      <c r="J11" s="6">
        <v>6.0</v>
      </c>
      <c r="K11" s="6">
        <v>4.0</v>
      </c>
      <c r="L11" s="6">
        <v>3.0</v>
      </c>
    </row>
    <row r="12">
      <c r="A12" s="6" t="s">
        <v>69</v>
      </c>
      <c r="B12" s="6" t="s">
        <v>53</v>
      </c>
      <c r="C12" s="6">
        <v>50.0</v>
      </c>
      <c r="D12" s="6">
        <v>1105.0</v>
      </c>
      <c r="E12" s="6">
        <v>0.6</v>
      </c>
      <c r="F12" s="6">
        <v>16.0</v>
      </c>
      <c r="G12" s="10">
        <f t="shared" si="1"/>
        <v>3.125</v>
      </c>
      <c r="H12" s="6">
        <v>445.0</v>
      </c>
      <c r="I12" s="6">
        <v>0.0</v>
      </c>
      <c r="J12" s="6">
        <v>9.0</v>
      </c>
      <c r="K12" s="6">
        <v>5.0</v>
      </c>
      <c r="L12" s="6">
        <v>2.0</v>
      </c>
    </row>
    <row r="13">
      <c r="A13" s="6" t="s">
        <v>150</v>
      </c>
      <c r="B13" s="6" t="s">
        <v>53</v>
      </c>
      <c r="C13" s="6">
        <v>50.0</v>
      </c>
      <c r="D13" s="6">
        <v>1302.0</v>
      </c>
      <c r="E13" s="6">
        <v>0.5</v>
      </c>
      <c r="F13" s="6">
        <v>14.0</v>
      </c>
      <c r="G13" s="10">
        <f t="shared" si="1"/>
        <v>3.571428571</v>
      </c>
      <c r="H13" s="6">
        <v>452.0</v>
      </c>
      <c r="I13" s="6">
        <v>0.0</v>
      </c>
      <c r="J13" s="6">
        <v>6.0</v>
      </c>
      <c r="K13" s="6">
        <v>4.0</v>
      </c>
      <c r="L13" s="6">
        <v>4.0</v>
      </c>
    </row>
    <row r="14">
      <c r="A14" s="6" t="s">
        <v>123</v>
      </c>
      <c r="B14" s="6" t="s">
        <v>53</v>
      </c>
      <c r="C14" s="6">
        <v>75.0</v>
      </c>
      <c r="D14" s="6">
        <v>1327.0</v>
      </c>
      <c r="E14" s="6">
        <v>1.3</v>
      </c>
      <c r="F14" s="6">
        <v>24.0</v>
      </c>
      <c r="G14" s="10">
        <f t="shared" si="1"/>
        <v>3.125</v>
      </c>
      <c r="H14" s="6">
        <v>582.0</v>
      </c>
      <c r="I14" s="6">
        <v>0.0</v>
      </c>
      <c r="J14" s="6">
        <v>10.0</v>
      </c>
      <c r="K14" s="6">
        <v>7.0</v>
      </c>
      <c r="L14" s="6">
        <v>7.0</v>
      </c>
    </row>
    <row r="15">
      <c r="A15" s="6" t="s">
        <v>61</v>
      </c>
      <c r="B15" s="6" t="s">
        <v>53</v>
      </c>
      <c r="C15" s="6">
        <v>100.0</v>
      </c>
      <c r="D15" s="6">
        <v>1196.0</v>
      </c>
      <c r="E15" s="6">
        <v>2.1</v>
      </c>
      <c r="F15" s="6">
        <v>32.0</v>
      </c>
      <c r="G15" s="10">
        <f t="shared" si="1"/>
        <v>3.125</v>
      </c>
      <c r="H15" s="6">
        <v>841.0</v>
      </c>
      <c r="I15" s="6">
        <v>0.0</v>
      </c>
      <c r="J15" s="6">
        <v>21.0</v>
      </c>
      <c r="K15" s="6">
        <v>6.0</v>
      </c>
      <c r="L15" s="6">
        <v>5.0</v>
      </c>
    </row>
    <row r="16">
      <c r="A16" s="6" t="s">
        <v>100</v>
      </c>
      <c r="B16" s="6" t="s">
        <v>53</v>
      </c>
      <c r="C16" s="6">
        <v>100.0</v>
      </c>
      <c r="D16" s="6">
        <v>1624.0</v>
      </c>
      <c r="E16" s="6">
        <v>2.2</v>
      </c>
      <c r="F16" s="6">
        <v>32.0</v>
      </c>
      <c r="G16" s="10">
        <f t="shared" si="1"/>
        <v>3.125</v>
      </c>
      <c r="H16" s="6">
        <v>754.0</v>
      </c>
      <c r="I16" s="6">
        <v>0.0</v>
      </c>
      <c r="J16" s="6">
        <v>18.0</v>
      </c>
      <c r="K16" s="6">
        <v>5.0</v>
      </c>
      <c r="L16" s="6">
        <v>9.0</v>
      </c>
    </row>
    <row r="17">
      <c r="A17" s="6" t="s">
        <v>94</v>
      </c>
      <c r="B17" s="6" t="s">
        <v>53</v>
      </c>
      <c r="C17" s="6">
        <v>150.0</v>
      </c>
      <c r="D17" s="6">
        <v>1802.0</v>
      </c>
      <c r="E17" s="6">
        <v>5.0</v>
      </c>
      <c r="F17" s="6">
        <v>47.0</v>
      </c>
      <c r="G17" s="10">
        <f t="shared" si="1"/>
        <v>3.191489362</v>
      </c>
      <c r="H17" s="6">
        <v>1292.0</v>
      </c>
      <c r="I17" s="6">
        <v>0.0</v>
      </c>
      <c r="J17" s="6">
        <v>27.0</v>
      </c>
      <c r="K17" s="6">
        <v>12.0</v>
      </c>
      <c r="L17" s="6">
        <v>8.0</v>
      </c>
    </row>
    <row r="18">
      <c r="A18" s="6" t="s">
        <v>132</v>
      </c>
      <c r="B18" s="6" t="s">
        <v>53</v>
      </c>
      <c r="C18" s="6">
        <v>208.0</v>
      </c>
      <c r="D18" s="6">
        <v>2213.0</v>
      </c>
      <c r="E18" s="6">
        <v>9.4</v>
      </c>
      <c r="F18" s="6">
        <v>63.0</v>
      </c>
      <c r="G18" s="10">
        <f t="shared" si="1"/>
        <v>3.301587302</v>
      </c>
      <c r="H18" s="6">
        <v>1748.0</v>
      </c>
      <c r="I18" s="6">
        <v>1.0</v>
      </c>
      <c r="J18" s="6">
        <v>39.0</v>
      </c>
      <c r="K18" s="6">
        <v>9.0</v>
      </c>
      <c r="L18" s="6">
        <v>15.0</v>
      </c>
    </row>
    <row r="19">
      <c r="A19" s="6" t="s">
        <v>110</v>
      </c>
      <c r="B19" s="6" t="s">
        <v>53</v>
      </c>
      <c r="C19" s="6">
        <v>208.0</v>
      </c>
      <c r="D19" s="6">
        <v>2697.0</v>
      </c>
      <c r="E19" s="6">
        <v>9.3</v>
      </c>
      <c r="F19" s="6">
        <v>62.0</v>
      </c>
      <c r="G19" s="10">
        <f t="shared" si="1"/>
        <v>3.35483871</v>
      </c>
      <c r="H19" s="6">
        <v>1632.0</v>
      </c>
      <c r="I19" s="6">
        <v>0.0</v>
      </c>
      <c r="J19" s="6">
        <v>27.0</v>
      </c>
      <c r="K19" s="6">
        <v>18.0</v>
      </c>
      <c r="L19" s="6">
        <v>17.0</v>
      </c>
    </row>
    <row r="20">
      <c r="A20" s="6" t="s">
        <v>52</v>
      </c>
      <c r="B20" s="6" t="s">
        <v>53</v>
      </c>
      <c r="C20" s="6">
        <v>300.0</v>
      </c>
      <c r="D20" s="6">
        <v>2981.0</v>
      </c>
      <c r="E20" s="6">
        <v>20.8</v>
      </c>
      <c r="F20" s="6">
        <v>100.0</v>
      </c>
      <c r="G20" s="10">
        <f t="shared" si="1"/>
        <v>3</v>
      </c>
      <c r="H20" s="6">
        <v>2151.0</v>
      </c>
      <c r="I20" s="6">
        <v>0.0</v>
      </c>
      <c r="J20" s="6">
        <v>55.0</v>
      </c>
      <c r="K20" s="6">
        <v>19.0</v>
      </c>
      <c r="L20" s="6">
        <v>26.0</v>
      </c>
    </row>
    <row r="21">
      <c r="A21" s="6" t="s">
        <v>86</v>
      </c>
      <c r="B21" s="6" t="s">
        <v>53</v>
      </c>
      <c r="C21" s="6">
        <v>500.0</v>
      </c>
      <c r="D21" s="6">
        <v>4065.0</v>
      </c>
      <c r="E21" s="6">
        <v>64.3</v>
      </c>
      <c r="F21" s="6">
        <v>167.0</v>
      </c>
      <c r="G21" s="10">
        <f t="shared" si="1"/>
        <v>2.994011976</v>
      </c>
      <c r="H21" s="6">
        <v>3290.0</v>
      </c>
      <c r="I21" s="6">
        <v>0.0</v>
      </c>
      <c r="J21" s="6">
        <v>88.0</v>
      </c>
      <c r="K21" s="6">
        <v>28.0</v>
      </c>
      <c r="L21" s="6">
        <v>51.0</v>
      </c>
    </row>
    <row r="22">
      <c r="A22" s="6" t="s">
        <v>125</v>
      </c>
      <c r="B22" s="6" t="s">
        <v>45</v>
      </c>
      <c r="C22" s="6">
        <v>10.0</v>
      </c>
      <c r="D22" s="6">
        <v>13.0</v>
      </c>
      <c r="E22" s="6">
        <v>0.0</v>
      </c>
      <c r="F22" s="6">
        <v>4.0</v>
      </c>
      <c r="G22" s="10">
        <f t="shared" si="1"/>
        <v>2.5</v>
      </c>
      <c r="H22" s="6">
        <v>13.0</v>
      </c>
      <c r="I22" s="6">
        <v>0.0</v>
      </c>
      <c r="J22" s="6">
        <v>0.0</v>
      </c>
      <c r="K22" s="6">
        <v>0.0</v>
      </c>
      <c r="L22" s="6">
        <v>4.0</v>
      </c>
    </row>
    <row r="23">
      <c r="A23" s="6" t="s">
        <v>111</v>
      </c>
      <c r="B23" s="6" t="s">
        <v>45</v>
      </c>
      <c r="C23" s="6">
        <v>10.0</v>
      </c>
      <c r="D23" s="6">
        <v>12.0</v>
      </c>
      <c r="E23" s="6">
        <v>0.0</v>
      </c>
      <c r="F23" s="6">
        <v>4.0</v>
      </c>
      <c r="G23" s="10">
        <f t="shared" si="1"/>
        <v>2.5</v>
      </c>
      <c r="H23" s="6">
        <v>12.0</v>
      </c>
      <c r="I23" s="6">
        <v>0.0</v>
      </c>
      <c r="J23" s="6">
        <v>0.0</v>
      </c>
      <c r="K23" s="6">
        <v>0.0</v>
      </c>
      <c r="L23" s="6">
        <v>4.0</v>
      </c>
    </row>
    <row r="24">
      <c r="A24" s="6" t="s">
        <v>133</v>
      </c>
      <c r="B24" s="6" t="s">
        <v>45</v>
      </c>
      <c r="C24" s="6">
        <v>10.0</v>
      </c>
      <c r="D24" s="6">
        <v>13.0</v>
      </c>
      <c r="E24" s="6">
        <v>0.0</v>
      </c>
      <c r="F24" s="6">
        <v>4.0</v>
      </c>
      <c r="G24" s="10">
        <f t="shared" si="1"/>
        <v>2.5</v>
      </c>
      <c r="H24" s="6">
        <v>13.0</v>
      </c>
      <c r="I24" s="6">
        <v>0.0</v>
      </c>
      <c r="J24" s="6">
        <v>0.0</v>
      </c>
      <c r="K24" s="6">
        <v>0.0</v>
      </c>
      <c r="L24" s="6">
        <v>4.0</v>
      </c>
    </row>
    <row r="25">
      <c r="A25" s="6" t="s">
        <v>124</v>
      </c>
      <c r="B25" s="6" t="s">
        <v>45</v>
      </c>
      <c r="C25" s="6">
        <v>10.0</v>
      </c>
      <c r="D25" s="6">
        <v>13.0</v>
      </c>
      <c r="E25" s="6">
        <v>0.0</v>
      </c>
      <c r="F25" s="6">
        <v>4.0</v>
      </c>
      <c r="G25" s="10">
        <f t="shared" si="1"/>
        <v>2.5</v>
      </c>
      <c r="H25" s="6">
        <v>13.0</v>
      </c>
      <c r="I25" s="6">
        <v>0.0</v>
      </c>
      <c r="J25" s="6">
        <v>0.0</v>
      </c>
      <c r="K25" s="6">
        <v>1.0</v>
      </c>
      <c r="L25" s="6">
        <v>3.0</v>
      </c>
    </row>
    <row r="26">
      <c r="A26" s="6" t="s">
        <v>49</v>
      </c>
      <c r="B26" s="6" t="s">
        <v>45</v>
      </c>
      <c r="C26" s="6">
        <v>10.0</v>
      </c>
      <c r="D26" s="6">
        <v>20.0</v>
      </c>
      <c r="E26" s="6">
        <v>0.0</v>
      </c>
      <c r="F26" s="6">
        <v>4.0</v>
      </c>
      <c r="G26" s="10">
        <f t="shared" si="1"/>
        <v>2.5</v>
      </c>
      <c r="H26" s="6">
        <v>20.0</v>
      </c>
      <c r="I26" s="6">
        <v>0.0</v>
      </c>
      <c r="J26" s="6">
        <v>0.0</v>
      </c>
      <c r="K26" s="6">
        <v>0.0</v>
      </c>
      <c r="L26" s="6">
        <v>4.0</v>
      </c>
    </row>
    <row r="27">
      <c r="A27" s="6" t="s">
        <v>130</v>
      </c>
      <c r="B27" s="6" t="s">
        <v>45</v>
      </c>
      <c r="C27" s="6">
        <v>15.0</v>
      </c>
      <c r="D27" s="6">
        <v>20.0</v>
      </c>
      <c r="E27" s="6">
        <v>0.1</v>
      </c>
      <c r="F27" s="6">
        <v>5.0</v>
      </c>
      <c r="G27" s="10">
        <f t="shared" si="1"/>
        <v>3</v>
      </c>
      <c r="H27" s="6">
        <v>20.0</v>
      </c>
      <c r="I27" s="6">
        <v>0.0</v>
      </c>
      <c r="J27" s="6">
        <v>0.0</v>
      </c>
      <c r="K27" s="6">
        <v>1.0</v>
      </c>
      <c r="L27" s="6">
        <v>4.0</v>
      </c>
    </row>
    <row r="28">
      <c r="A28" s="6" t="s">
        <v>140</v>
      </c>
      <c r="B28" s="6" t="s">
        <v>45</v>
      </c>
      <c r="C28" s="6">
        <v>15.0</v>
      </c>
      <c r="D28" s="6">
        <v>18.0</v>
      </c>
      <c r="E28" s="6">
        <v>0.1</v>
      </c>
      <c r="F28" s="6">
        <v>5.0</v>
      </c>
      <c r="G28" s="10">
        <f t="shared" si="1"/>
        <v>3</v>
      </c>
      <c r="H28" s="6">
        <v>18.0</v>
      </c>
      <c r="I28" s="6">
        <v>0.0</v>
      </c>
      <c r="J28" s="6">
        <v>0.0</v>
      </c>
      <c r="K28" s="6">
        <v>0.0</v>
      </c>
      <c r="L28" s="6">
        <v>5.0</v>
      </c>
    </row>
    <row r="29">
      <c r="A29" s="6" t="s">
        <v>60</v>
      </c>
      <c r="B29" s="6" t="s">
        <v>45</v>
      </c>
      <c r="C29" s="6">
        <v>15.0</v>
      </c>
      <c r="D29" s="6">
        <v>19.0</v>
      </c>
      <c r="E29" s="6">
        <v>0.1</v>
      </c>
      <c r="F29" s="6">
        <v>5.0</v>
      </c>
      <c r="G29" s="10">
        <f t="shared" si="1"/>
        <v>3</v>
      </c>
      <c r="H29" s="6">
        <v>19.0</v>
      </c>
      <c r="I29" s="6">
        <v>0.0</v>
      </c>
      <c r="J29" s="6">
        <v>0.0</v>
      </c>
      <c r="K29" s="6">
        <v>0.0</v>
      </c>
      <c r="L29" s="6">
        <v>5.0</v>
      </c>
    </row>
    <row r="30">
      <c r="A30" s="6" t="s">
        <v>59</v>
      </c>
      <c r="B30" s="6" t="s">
        <v>45</v>
      </c>
      <c r="C30" s="6">
        <v>15.0</v>
      </c>
      <c r="D30" s="6">
        <v>23.0</v>
      </c>
      <c r="E30" s="6">
        <v>0.1</v>
      </c>
      <c r="F30" s="6">
        <v>5.0</v>
      </c>
      <c r="G30" s="10">
        <f t="shared" si="1"/>
        <v>3</v>
      </c>
      <c r="H30" s="6">
        <v>23.0</v>
      </c>
      <c r="I30" s="6">
        <v>0.0</v>
      </c>
      <c r="J30" s="6">
        <v>0.0</v>
      </c>
      <c r="K30" s="6">
        <v>0.0</v>
      </c>
      <c r="L30" s="6">
        <v>5.0</v>
      </c>
    </row>
    <row r="31">
      <c r="A31" s="6" t="s">
        <v>50</v>
      </c>
      <c r="B31" s="6" t="s">
        <v>45</v>
      </c>
      <c r="C31" s="6">
        <v>15.0</v>
      </c>
      <c r="D31" s="6">
        <v>22.0</v>
      </c>
      <c r="E31" s="6">
        <v>0.1</v>
      </c>
      <c r="F31" s="6">
        <v>5.0</v>
      </c>
      <c r="G31" s="10">
        <f t="shared" si="1"/>
        <v>3</v>
      </c>
      <c r="H31" s="6">
        <v>22.0</v>
      </c>
      <c r="I31" s="6">
        <v>0.0</v>
      </c>
      <c r="J31" s="6">
        <v>0.0</v>
      </c>
      <c r="K31" s="6">
        <v>0.0</v>
      </c>
      <c r="L31" s="6">
        <v>5.0</v>
      </c>
    </row>
    <row r="32">
      <c r="A32" s="6" t="s">
        <v>95</v>
      </c>
      <c r="B32" s="6" t="s">
        <v>45</v>
      </c>
      <c r="C32" s="6">
        <v>20.0</v>
      </c>
      <c r="D32" s="6">
        <v>34.0</v>
      </c>
      <c r="E32" s="6">
        <v>0.1</v>
      </c>
      <c r="F32" s="6">
        <v>6.0</v>
      </c>
      <c r="G32" s="10">
        <f t="shared" si="1"/>
        <v>3.333333333</v>
      </c>
      <c r="H32" s="6">
        <v>34.0</v>
      </c>
      <c r="I32" s="6">
        <v>0.0</v>
      </c>
      <c r="J32" s="6">
        <v>0.0</v>
      </c>
      <c r="K32" s="6">
        <v>0.0</v>
      </c>
      <c r="L32" s="6">
        <v>6.0</v>
      </c>
    </row>
    <row r="33">
      <c r="A33" s="6" t="s">
        <v>73</v>
      </c>
      <c r="B33" s="6" t="s">
        <v>45</v>
      </c>
      <c r="C33" s="6">
        <v>20.0</v>
      </c>
      <c r="D33" s="6">
        <v>31.0</v>
      </c>
      <c r="E33" s="6">
        <v>0.1</v>
      </c>
      <c r="F33" s="6">
        <v>6.0</v>
      </c>
      <c r="G33" s="10">
        <f t="shared" si="1"/>
        <v>3.333333333</v>
      </c>
      <c r="H33" s="6">
        <v>31.0</v>
      </c>
      <c r="I33" s="6">
        <v>0.0</v>
      </c>
      <c r="J33" s="6">
        <v>0.0</v>
      </c>
      <c r="K33" s="6">
        <v>0.0</v>
      </c>
      <c r="L33" s="6">
        <v>6.0</v>
      </c>
    </row>
    <row r="34">
      <c r="A34" s="6" t="s">
        <v>46</v>
      </c>
      <c r="B34" s="6" t="s">
        <v>45</v>
      </c>
      <c r="C34" s="6">
        <v>20.0</v>
      </c>
      <c r="D34" s="6">
        <v>25.0</v>
      </c>
      <c r="E34" s="6">
        <v>0.1</v>
      </c>
      <c r="F34" s="6">
        <v>6.0</v>
      </c>
      <c r="G34" s="10">
        <f t="shared" si="1"/>
        <v>3.333333333</v>
      </c>
      <c r="H34" s="6">
        <v>25.0</v>
      </c>
      <c r="I34" s="6">
        <v>0.0</v>
      </c>
      <c r="J34" s="6">
        <v>0.0</v>
      </c>
      <c r="K34" s="6">
        <v>0.0</v>
      </c>
      <c r="L34" s="6">
        <v>6.0</v>
      </c>
    </row>
    <row r="35">
      <c r="A35" s="6" t="s">
        <v>103</v>
      </c>
      <c r="B35" s="6" t="s">
        <v>45</v>
      </c>
      <c r="C35" s="6">
        <v>20.0</v>
      </c>
      <c r="D35" s="6">
        <v>26.0</v>
      </c>
      <c r="E35" s="6">
        <v>0.1</v>
      </c>
      <c r="F35" s="6">
        <v>7.0</v>
      </c>
      <c r="G35" s="10">
        <f t="shared" si="1"/>
        <v>2.857142857</v>
      </c>
      <c r="H35" s="6">
        <v>26.0</v>
      </c>
      <c r="I35" s="6">
        <v>0.0</v>
      </c>
      <c r="J35" s="6">
        <v>0.0</v>
      </c>
      <c r="K35" s="6">
        <v>1.0</v>
      </c>
      <c r="L35" s="6">
        <v>6.0</v>
      </c>
    </row>
    <row r="36">
      <c r="A36" s="6" t="s">
        <v>131</v>
      </c>
      <c r="B36" s="6" t="s">
        <v>45</v>
      </c>
      <c r="C36" s="6">
        <v>20.0</v>
      </c>
      <c r="D36" s="6">
        <v>35.0</v>
      </c>
      <c r="E36" s="6">
        <v>0.1</v>
      </c>
      <c r="F36" s="6">
        <v>7.0</v>
      </c>
      <c r="G36" s="10">
        <f t="shared" si="1"/>
        <v>2.857142857</v>
      </c>
      <c r="H36" s="6">
        <v>35.0</v>
      </c>
      <c r="I36" s="6">
        <v>0.0</v>
      </c>
      <c r="J36" s="6">
        <v>0.0</v>
      </c>
      <c r="K36" s="6">
        <v>1.0</v>
      </c>
      <c r="L36" s="6">
        <v>6.0</v>
      </c>
    </row>
    <row r="37">
      <c r="A37" s="6" t="s">
        <v>115</v>
      </c>
      <c r="B37" s="6" t="s">
        <v>45</v>
      </c>
      <c r="C37" s="6">
        <v>25.0</v>
      </c>
      <c r="D37" s="6">
        <v>34.0</v>
      </c>
      <c r="E37" s="6">
        <v>0.2</v>
      </c>
      <c r="F37" s="6">
        <v>8.0</v>
      </c>
      <c r="G37" s="10">
        <f t="shared" si="1"/>
        <v>3.125</v>
      </c>
      <c r="H37" s="6">
        <v>34.0</v>
      </c>
      <c r="I37" s="6">
        <v>0.0</v>
      </c>
      <c r="J37" s="6">
        <v>0.0</v>
      </c>
      <c r="K37" s="6">
        <v>0.0</v>
      </c>
      <c r="L37" s="6">
        <v>8.0</v>
      </c>
    </row>
    <row r="38">
      <c r="A38" s="6" t="s">
        <v>71</v>
      </c>
      <c r="B38" s="6" t="s">
        <v>45</v>
      </c>
      <c r="C38" s="6">
        <v>25.0</v>
      </c>
      <c r="D38" s="6">
        <v>44.0</v>
      </c>
      <c r="E38" s="6">
        <v>0.2</v>
      </c>
      <c r="F38" s="6">
        <v>8.0</v>
      </c>
      <c r="G38" s="10">
        <f t="shared" si="1"/>
        <v>3.125</v>
      </c>
      <c r="H38" s="6">
        <v>44.0</v>
      </c>
      <c r="I38" s="6">
        <v>0.0</v>
      </c>
      <c r="J38" s="6">
        <v>0.0</v>
      </c>
      <c r="K38" s="6">
        <v>1.0</v>
      </c>
      <c r="L38" s="6">
        <v>7.0</v>
      </c>
    </row>
    <row r="39">
      <c r="A39" s="6" t="s">
        <v>87</v>
      </c>
      <c r="B39" s="6" t="s">
        <v>45</v>
      </c>
      <c r="C39" s="6">
        <v>25.0</v>
      </c>
      <c r="D39" s="6">
        <v>41.0</v>
      </c>
      <c r="E39" s="6">
        <v>0.2</v>
      </c>
      <c r="F39" s="6">
        <v>8.0</v>
      </c>
      <c r="G39" s="10">
        <f t="shared" si="1"/>
        <v>3.125</v>
      </c>
      <c r="H39" s="6">
        <v>41.0</v>
      </c>
      <c r="I39" s="6">
        <v>0.0</v>
      </c>
      <c r="J39" s="6">
        <v>0.0</v>
      </c>
      <c r="K39" s="6">
        <v>1.0</v>
      </c>
      <c r="L39" s="6">
        <v>7.0</v>
      </c>
    </row>
    <row r="40">
      <c r="A40" s="6" t="s">
        <v>44</v>
      </c>
      <c r="B40" s="6" t="s">
        <v>45</v>
      </c>
      <c r="C40" s="6">
        <v>25.0</v>
      </c>
      <c r="D40" s="6">
        <v>43.0</v>
      </c>
      <c r="E40" s="6">
        <v>0.2</v>
      </c>
      <c r="F40" s="6">
        <v>9.0</v>
      </c>
      <c r="G40" s="10">
        <f t="shared" si="1"/>
        <v>2.777777778</v>
      </c>
      <c r="H40" s="6">
        <v>43.0</v>
      </c>
      <c r="I40" s="6">
        <v>0.0</v>
      </c>
      <c r="J40" s="6">
        <v>0.0</v>
      </c>
      <c r="K40" s="6">
        <v>1.0</v>
      </c>
      <c r="L40" s="6">
        <v>8.0</v>
      </c>
    </row>
    <row r="41">
      <c r="A41" s="6" t="s">
        <v>134</v>
      </c>
      <c r="B41" s="6" t="s">
        <v>45</v>
      </c>
      <c r="C41" s="6">
        <v>25.0</v>
      </c>
      <c r="D41" s="6">
        <v>45.0</v>
      </c>
      <c r="E41" s="6">
        <v>0.2</v>
      </c>
      <c r="F41" s="6">
        <v>8.0</v>
      </c>
      <c r="G41" s="10">
        <f t="shared" si="1"/>
        <v>3.125</v>
      </c>
      <c r="H41" s="6">
        <v>45.0</v>
      </c>
      <c r="I41" s="6">
        <v>0.0</v>
      </c>
      <c r="J41" s="6">
        <v>0.0</v>
      </c>
      <c r="K41" s="6">
        <v>0.0</v>
      </c>
      <c r="L41" s="6">
        <v>8.0</v>
      </c>
    </row>
    <row r="42">
      <c r="A42" s="6" t="s">
        <v>153</v>
      </c>
      <c r="B42" s="6" t="s">
        <v>45</v>
      </c>
      <c r="C42" s="6">
        <v>30.0</v>
      </c>
      <c r="D42" s="6">
        <v>54.0</v>
      </c>
      <c r="E42" s="6">
        <v>0.2</v>
      </c>
      <c r="F42" s="6">
        <v>8.0</v>
      </c>
      <c r="G42" s="10">
        <f t="shared" si="1"/>
        <v>3.75</v>
      </c>
      <c r="H42" s="6">
        <v>54.0</v>
      </c>
      <c r="I42" s="6">
        <v>0.0</v>
      </c>
      <c r="J42" s="6">
        <v>0.0</v>
      </c>
      <c r="K42" s="6">
        <v>0.0</v>
      </c>
      <c r="L42" s="6">
        <v>8.0</v>
      </c>
    </row>
    <row r="43">
      <c r="A43" s="6" t="s">
        <v>51</v>
      </c>
      <c r="B43" s="6" t="s">
        <v>45</v>
      </c>
      <c r="C43" s="6">
        <v>30.0</v>
      </c>
      <c r="D43" s="6">
        <v>59.0</v>
      </c>
      <c r="E43" s="6">
        <v>0.2</v>
      </c>
      <c r="F43" s="6">
        <v>9.0</v>
      </c>
      <c r="G43" s="10">
        <f t="shared" si="1"/>
        <v>3.333333333</v>
      </c>
      <c r="H43" s="6">
        <v>59.0</v>
      </c>
      <c r="I43" s="6">
        <v>0.0</v>
      </c>
      <c r="J43" s="6">
        <v>0.0</v>
      </c>
      <c r="K43" s="6">
        <v>0.0</v>
      </c>
      <c r="L43" s="6">
        <v>9.0</v>
      </c>
    </row>
    <row r="44">
      <c r="A44" s="6" t="s">
        <v>96</v>
      </c>
      <c r="B44" s="6" t="s">
        <v>45</v>
      </c>
      <c r="C44" s="6">
        <v>30.0</v>
      </c>
      <c r="D44" s="6">
        <v>64.0</v>
      </c>
      <c r="E44" s="6">
        <v>0.3</v>
      </c>
      <c r="F44" s="6">
        <v>10.0</v>
      </c>
      <c r="G44" s="10">
        <f t="shared" si="1"/>
        <v>3</v>
      </c>
      <c r="H44" s="6">
        <v>64.0</v>
      </c>
      <c r="I44" s="6">
        <v>0.0</v>
      </c>
      <c r="J44" s="6">
        <v>0.0</v>
      </c>
      <c r="K44" s="6">
        <v>0.0</v>
      </c>
      <c r="L44" s="6">
        <v>10.0</v>
      </c>
    </row>
    <row r="45">
      <c r="A45" s="6" t="s">
        <v>106</v>
      </c>
      <c r="B45" s="6" t="s">
        <v>45</v>
      </c>
      <c r="C45" s="6">
        <v>30.0</v>
      </c>
      <c r="D45" s="6">
        <v>62.0</v>
      </c>
      <c r="E45" s="6">
        <v>0.2</v>
      </c>
      <c r="F45" s="6">
        <v>9.0</v>
      </c>
      <c r="G45" s="10">
        <f t="shared" si="1"/>
        <v>3.333333333</v>
      </c>
      <c r="H45" s="6">
        <v>62.0</v>
      </c>
      <c r="I45" s="6">
        <v>0.0</v>
      </c>
      <c r="J45" s="6">
        <v>0.0</v>
      </c>
      <c r="K45" s="6">
        <v>1.0</v>
      </c>
      <c r="L45" s="6">
        <v>8.0</v>
      </c>
    </row>
    <row r="46">
      <c r="A46" s="6" t="s">
        <v>91</v>
      </c>
      <c r="B46" s="6" t="s">
        <v>45</v>
      </c>
      <c r="C46" s="6">
        <v>30.0</v>
      </c>
      <c r="D46" s="6">
        <v>58.0</v>
      </c>
      <c r="E46" s="6">
        <v>0.2</v>
      </c>
      <c r="F46" s="6">
        <v>9.0</v>
      </c>
      <c r="G46" s="10">
        <f t="shared" si="1"/>
        <v>3.333333333</v>
      </c>
      <c r="H46" s="6">
        <v>58.0</v>
      </c>
      <c r="I46" s="6">
        <v>0.0</v>
      </c>
      <c r="J46" s="6">
        <v>0.0</v>
      </c>
      <c r="K46" s="6">
        <v>0.0</v>
      </c>
      <c r="L46" s="6">
        <v>9.0</v>
      </c>
    </row>
    <row r="47">
      <c r="A47" s="6" t="s">
        <v>66</v>
      </c>
      <c r="B47" s="6" t="s">
        <v>45</v>
      </c>
      <c r="C47" s="6">
        <v>40.0</v>
      </c>
      <c r="D47" s="6">
        <v>88.0</v>
      </c>
      <c r="E47" s="6">
        <v>0.4</v>
      </c>
      <c r="F47" s="6">
        <v>12.0</v>
      </c>
      <c r="G47" s="10">
        <f t="shared" si="1"/>
        <v>3.333333333</v>
      </c>
      <c r="H47" s="6">
        <v>88.0</v>
      </c>
      <c r="I47" s="6">
        <v>0.0</v>
      </c>
      <c r="J47" s="6">
        <v>0.0</v>
      </c>
      <c r="K47" s="6">
        <v>1.0</v>
      </c>
      <c r="L47" s="6">
        <v>11.0</v>
      </c>
    </row>
    <row r="48">
      <c r="A48" s="6" t="s">
        <v>75</v>
      </c>
      <c r="B48" s="6" t="s">
        <v>45</v>
      </c>
      <c r="C48" s="6">
        <v>40.0</v>
      </c>
      <c r="D48" s="6">
        <v>82.0</v>
      </c>
      <c r="E48" s="6">
        <v>0.4</v>
      </c>
      <c r="F48" s="6">
        <v>12.0</v>
      </c>
      <c r="G48" s="10">
        <f t="shared" si="1"/>
        <v>3.333333333</v>
      </c>
      <c r="H48" s="6">
        <v>82.0</v>
      </c>
      <c r="I48" s="6">
        <v>0.0</v>
      </c>
      <c r="J48" s="6">
        <v>0.0</v>
      </c>
      <c r="K48" s="6">
        <v>0.0</v>
      </c>
      <c r="L48" s="6">
        <v>12.0</v>
      </c>
    </row>
    <row r="49">
      <c r="A49" s="6" t="s">
        <v>58</v>
      </c>
      <c r="B49" s="6" t="s">
        <v>45</v>
      </c>
      <c r="C49" s="6">
        <v>40.0</v>
      </c>
      <c r="D49" s="6">
        <v>91.0</v>
      </c>
      <c r="E49" s="6">
        <v>0.4</v>
      </c>
      <c r="F49" s="6">
        <v>13.0</v>
      </c>
      <c r="G49" s="10">
        <f t="shared" si="1"/>
        <v>3.076923077</v>
      </c>
      <c r="H49" s="6">
        <v>91.0</v>
      </c>
      <c r="I49" s="6">
        <v>0.0</v>
      </c>
      <c r="J49" s="6">
        <v>0.0</v>
      </c>
      <c r="K49" s="6">
        <v>0.0</v>
      </c>
      <c r="L49" s="6">
        <v>13.0</v>
      </c>
    </row>
    <row r="50">
      <c r="A50" s="6" t="s">
        <v>108</v>
      </c>
      <c r="B50" s="6" t="s">
        <v>45</v>
      </c>
      <c r="C50" s="6">
        <v>40.0</v>
      </c>
      <c r="D50" s="6">
        <v>93.0</v>
      </c>
      <c r="E50" s="6">
        <v>0.4</v>
      </c>
      <c r="F50" s="6">
        <v>13.0</v>
      </c>
      <c r="G50" s="10">
        <f t="shared" si="1"/>
        <v>3.076923077</v>
      </c>
      <c r="H50" s="6">
        <v>93.0</v>
      </c>
      <c r="I50" s="6">
        <v>0.0</v>
      </c>
      <c r="J50" s="6">
        <v>0.0</v>
      </c>
      <c r="K50" s="6">
        <v>2.0</v>
      </c>
      <c r="L50" s="6">
        <v>11.0</v>
      </c>
    </row>
    <row r="51">
      <c r="A51" s="6" t="s">
        <v>122</v>
      </c>
      <c r="B51" s="6" t="s">
        <v>45</v>
      </c>
      <c r="C51" s="6">
        <v>40.0</v>
      </c>
      <c r="D51" s="6">
        <v>92.0</v>
      </c>
      <c r="E51" s="6">
        <v>0.4</v>
      </c>
      <c r="F51" s="6">
        <v>14.0</v>
      </c>
      <c r="G51" s="10">
        <f t="shared" si="1"/>
        <v>2.857142857</v>
      </c>
      <c r="H51" s="6">
        <v>92.0</v>
      </c>
      <c r="I51" s="6">
        <v>0.0</v>
      </c>
      <c r="J51" s="6">
        <v>0.0</v>
      </c>
      <c r="K51" s="6">
        <v>2.0</v>
      </c>
      <c r="L51" s="6">
        <v>12.0</v>
      </c>
    </row>
    <row r="52">
      <c r="A52" s="6" t="s">
        <v>88</v>
      </c>
      <c r="B52" s="6" t="s">
        <v>45</v>
      </c>
      <c r="C52" s="6">
        <v>50.0</v>
      </c>
      <c r="D52" s="6">
        <v>115.0</v>
      </c>
      <c r="E52" s="6">
        <v>0.7</v>
      </c>
      <c r="F52" s="6">
        <v>16.0</v>
      </c>
      <c r="G52" s="10">
        <f t="shared" si="1"/>
        <v>3.125</v>
      </c>
      <c r="H52" s="6">
        <v>115.0</v>
      </c>
      <c r="I52" s="6">
        <v>0.0</v>
      </c>
      <c r="J52" s="6">
        <v>0.0</v>
      </c>
      <c r="K52" s="6">
        <v>3.0</v>
      </c>
      <c r="L52" s="6">
        <v>13.0</v>
      </c>
    </row>
    <row r="53">
      <c r="A53" s="6" t="s">
        <v>135</v>
      </c>
      <c r="B53" s="6" t="s">
        <v>45</v>
      </c>
      <c r="C53" s="6">
        <v>50.0</v>
      </c>
      <c r="D53" s="6">
        <v>124.0</v>
      </c>
      <c r="E53" s="6">
        <v>0.6</v>
      </c>
      <c r="F53" s="6">
        <v>14.0</v>
      </c>
      <c r="G53" s="10">
        <f t="shared" si="1"/>
        <v>3.571428571</v>
      </c>
      <c r="H53" s="6">
        <v>124.0</v>
      </c>
      <c r="I53" s="6">
        <v>0.0</v>
      </c>
      <c r="J53" s="6">
        <v>0.0</v>
      </c>
      <c r="K53" s="6">
        <v>0.0</v>
      </c>
      <c r="L53" s="6">
        <v>14.0</v>
      </c>
    </row>
    <row r="54">
      <c r="A54" s="6" t="s">
        <v>54</v>
      </c>
      <c r="B54" s="6" t="s">
        <v>45</v>
      </c>
      <c r="C54" s="6">
        <v>50.0</v>
      </c>
      <c r="D54" s="6">
        <v>122.0</v>
      </c>
      <c r="E54" s="6">
        <v>0.6</v>
      </c>
      <c r="F54" s="6">
        <v>16.0</v>
      </c>
      <c r="G54" s="10">
        <f t="shared" si="1"/>
        <v>3.125</v>
      </c>
      <c r="H54" s="6">
        <v>122.0</v>
      </c>
      <c r="I54" s="6">
        <v>0.0</v>
      </c>
      <c r="J54" s="6">
        <v>0.0</v>
      </c>
      <c r="K54" s="6">
        <v>1.0</v>
      </c>
      <c r="L54" s="6">
        <v>15.0</v>
      </c>
    </row>
    <row r="55">
      <c r="A55" s="6" t="s">
        <v>148</v>
      </c>
      <c r="B55" s="6" t="s">
        <v>45</v>
      </c>
      <c r="C55" s="6">
        <v>50.0</v>
      </c>
      <c r="D55" s="6">
        <v>118.0</v>
      </c>
      <c r="E55" s="6">
        <v>0.5</v>
      </c>
      <c r="F55" s="6">
        <v>16.0</v>
      </c>
      <c r="G55" s="10">
        <f t="shared" si="1"/>
        <v>3.125</v>
      </c>
      <c r="H55" s="6">
        <v>118.0</v>
      </c>
      <c r="I55" s="6">
        <v>0.0</v>
      </c>
      <c r="J55" s="6">
        <v>0.0</v>
      </c>
      <c r="K55" s="6">
        <v>2.0</v>
      </c>
      <c r="L55" s="6">
        <v>14.0</v>
      </c>
    </row>
    <row r="56">
      <c r="A56" s="6" t="s">
        <v>76</v>
      </c>
      <c r="B56" s="6" t="s">
        <v>45</v>
      </c>
      <c r="C56" s="6">
        <v>50.0</v>
      </c>
      <c r="D56" s="6">
        <v>127.0</v>
      </c>
      <c r="E56" s="6">
        <v>0.6</v>
      </c>
      <c r="F56" s="6">
        <v>16.0</v>
      </c>
      <c r="G56" s="10">
        <f t="shared" si="1"/>
        <v>3.125</v>
      </c>
      <c r="H56" s="6">
        <v>127.0</v>
      </c>
      <c r="I56" s="6">
        <v>0.0</v>
      </c>
      <c r="J56" s="6">
        <v>0.0</v>
      </c>
      <c r="K56" s="6">
        <v>1.0</v>
      </c>
      <c r="L56" s="6">
        <v>15.0</v>
      </c>
    </row>
    <row r="57">
      <c r="A57" s="6" t="s">
        <v>62</v>
      </c>
      <c r="B57" s="6" t="s">
        <v>45</v>
      </c>
      <c r="C57" s="6">
        <v>75.0</v>
      </c>
      <c r="D57" s="6">
        <v>222.0</v>
      </c>
      <c r="E57" s="6">
        <v>1.3</v>
      </c>
      <c r="F57" s="6">
        <v>22.0</v>
      </c>
      <c r="G57" s="10">
        <f t="shared" si="1"/>
        <v>3.409090909</v>
      </c>
      <c r="H57" s="6">
        <v>222.0</v>
      </c>
      <c r="I57" s="6">
        <v>0.0</v>
      </c>
      <c r="J57" s="6">
        <v>0.0</v>
      </c>
      <c r="K57" s="6">
        <v>4.0</v>
      </c>
      <c r="L57" s="6">
        <v>18.0</v>
      </c>
    </row>
    <row r="58">
      <c r="A58" s="6" t="s">
        <v>72</v>
      </c>
      <c r="B58" s="6" t="s">
        <v>45</v>
      </c>
      <c r="C58" s="6">
        <v>75.0</v>
      </c>
      <c r="D58" s="6">
        <v>192.0</v>
      </c>
      <c r="E58" s="6">
        <v>1.4</v>
      </c>
      <c r="F58" s="6">
        <v>25.0</v>
      </c>
      <c r="G58" s="10">
        <f t="shared" si="1"/>
        <v>3</v>
      </c>
      <c r="H58" s="6">
        <v>192.0</v>
      </c>
      <c r="I58" s="6">
        <v>0.0</v>
      </c>
      <c r="J58" s="6">
        <v>0.0</v>
      </c>
      <c r="K58" s="6">
        <v>4.0</v>
      </c>
      <c r="L58" s="6">
        <v>21.0</v>
      </c>
    </row>
    <row r="59">
      <c r="A59" s="6" t="s">
        <v>74</v>
      </c>
      <c r="B59" s="6" t="s">
        <v>45</v>
      </c>
      <c r="C59" s="6">
        <v>75.0</v>
      </c>
      <c r="D59" s="6">
        <v>197.0</v>
      </c>
      <c r="E59" s="6">
        <v>1.4</v>
      </c>
      <c r="F59" s="6">
        <v>24.0</v>
      </c>
      <c r="G59" s="10">
        <f t="shared" si="1"/>
        <v>3.125</v>
      </c>
      <c r="H59" s="6">
        <v>197.0</v>
      </c>
      <c r="I59" s="6">
        <v>0.0</v>
      </c>
      <c r="J59" s="6">
        <v>0.0</v>
      </c>
      <c r="K59" s="6">
        <v>4.0</v>
      </c>
      <c r="L59" s="6">
        <v>20.0</v>
      </c>
    </row>
    <row r="60">
      <c r="A60" s="6" t="s">
        <v>120</v>
      </c>
      <c r="B60" s="6" t="s">
        <v>45</v>
      </c>
      <c r="C60" s="6">
        <v>75.0</v>
      </c>
      <c r="D60" s="6">
        <v>189.0</v>
      </c>
      <c r="E60" s="6">
        <v>1.3</v>
      </c>
      <c r="F60" s="6">
        <v>23.0</v>
      </c>
      <c r="G60" s="10">
        <f t="shared" si="1"/>
        <v>3.260869565</v>
      </c>
      <c r="H60" s="6">
        <v>189.0</v>
      </c>
      <c r="I60" s="6">
        <v>0.0</v>
      </c>
      <c r="J60" s="6">
        <v>1.0</v>
      </c>
      <c r="K60" s="6">
        <v>4.0</v>
      </c>
      <c r="L60" s="6">
        <v>18.0</v>
      </c>
    </row>
    <row r="61">
      <c r="A61" s="6" t="s">
        <v>119</v>
      </c>
      <c r="B61" s="6" t="s">
        <v>45</v>
      </c>
      <c r="C61" s="6">
        <v>75.0</v>
      </c>
      <c r="D61" s="6">
        <v>198.0</v>
      </c>
      <c r="E61" s="6">
        <v>1.3</v>
      </c>
      <c r="F61" s="6">
        <v>23.0</v>
      </c>
      <c r="G61" s="10">
        <f t="shared" si="1"/>
        <v>3.260869565</v>
      </c>
      <c r="H61" s="6">
        <v>198.0</v>
      </c>
      <c r="I61" s="6">
        <v>0.0</v>
      </c>
      <c r="J61" s="6">
        <v>1.0</v>
      </c>
      <c r="K61" s="6">
        <v>2.0</v>
      </c>
      <c r="L61" s="6">
        <v>20.0</v>
      </c>
    </row>
    <row r="62">
      <c r="A62" s="6" t="s">
        <v>101</v>
      </c>
      <c r="B62" s="6" t="s">
        <v>45</v>
      </c>
      <c r="C62" s="6">
        <v>100.0</v>
      </c>
      <c r="D62" s="6">
        <v>300.0</v>
      </c>
      <c r="E62" s="6">
        <v>2.2</v>
      </c>
      <c r="F62" s="6">
        <v>29.0</v>
      </c>
      <c r="G62" s="10">
        <f t="shared" si="1"/>
        <v>3.448275862</v>
      </c>
      <c r="H62" s="6">
        <v>300.0</v>
      </c>
      <c r="I62" s="6">
        <v>0.0</v>
      </c>
      <c r="J62" s="6">
        <v>0.0</v>
      </c>
      <c r="K62" s="6">
        <v>4.0</v>
      </c>
      <c r="L62" s="6">
        <v>25.0</v>
      </c>
    </row>
    <row r="63">
      <c r="A63" s="6" t="s">
        <v>117</v>
      </c>
      <c r="B63" s="6" t="s">
        <v>45</v>
      </c>
      <c r="C63" s="6">
        <v>100.0</v>
      </c>
      <c r="D63" s="6">
        <v>282.0</v>
      </c>
      <c r="E63" s="6">
        <v>2.4</v>
      </c>
      <c r="F63" s="6">
        <v>33.0</v>
      </c>
      <c r="G63" s="10">
        <f t="shared" si="1"/>
        <v>3.03030303</v>
      </c>
      <c r="H63" s="6">
        <v>282.0</v>
      </c>
      <c r="I63" s="6">
        <v>0.0</v>
      </c>
      <c r="J63" s="6">
        <v>0.0</v>
      </c>
      <c r="K63" s="6">
        <v>7.0</v>
      </c>
      <c r="L63" s="6">
        <v>26.0</v>
      </c>
    </row>
    <row r="64">
      <c r="A64" s="6" t="s">
        <v>98</v>
      </c>
      <c r="B64" s="6" t="s">
        <v>45</v>
      </c>
      <c r="C64" s="6">
        <v>100.0</v>
      </c>
      <c r="D64" s="6">
        <v>300.0</v>
      </c>
      <c r="E64" s="6">
        <v>2.2</v>
      </c>
      <c r="F64" s="6">
        <v>30.0</v>
      </c>
      <c r="G64" s="10">
        <f t="shared" si="1"/>
        <v>3.333333333</v>
      </c>
      <c r="H64" s="6">
        <v>300.0</v>
      </c>
      <c r="I64" s="6">
        <v>0.0</v>
      </c>
      <c r="J64" s="6">
        <v>0.0</v>
      </c>
      <c r="K64" s="6">
        <v>6.0</v>
      </c>
      <c r="L64" s="6">
        <v>24.0</v>
      </c>
    </row>
    <row r="65">
      <c r="A65" s="6" t="s">
        <v>143</v>
      </c>
      <c r="B65" s="6" t="s">
        <v>45</v>
      </c>
      <c r="C65" s="6">
        <v>100.0</v>
      </c>
      <c r="D65" s="6">
        <v>282.0</v>
      </c>
      <c r="E65" s="6">
        <v>2.2</v>
      </c>
      <c r="F65" s="6">
        <v>32.0</v>
      </c>
      <c r="G65" s="10">
        <f t="shared" si="1"/>
        <v>3.125</v>
      </c>
      <c r="H65" s="6">
        <v>282.0</v>
      </c>
      <c r="I65" s="6">
        <v>0.0</v>
      </c>
      <c r="J65" s="6">
        <v>0.0</v>
      </c>
      <c r="K65" s="6">
        <v>6.0</v>
      </c>
      <c r="L65" s="6">
        <v>26.0</v>
      </c>
    </row>
    <row r="66">
      <c r="A66" s="6" t="s">
        <v>92</v>
      </c>
      <c r="B66" s="6" t="s">
        <v>45</v>
      </c>
      <c r="C66" s="6">
        <v>100.0</v>
      </c>
      <c r="D66" s="6">
        <v>305.0</v>
      </c>
      <c r="E66" s="6">
        <v>2.1</v>
      </c>
      <c r="F66" s="6">
        <v>29.0</v>
      </c>
      <c r="G66" s="10">
        <f t="shared" si="1"/>
        <v>3.448275862</v>
      </c>
      <c r="H66" s="6">
        <v>305.0</v>
      </c>
      <c r="I66" s="6">
        <v>0.0</v>
      </c>
      <c r="J66" s="6">
        <v>0.0</v>
      </c>
      <c r="K66" s="6">
        <v>3.0</v>
      </c>
      <c r="L66" s="6">
        <v>26.0</v>
      </c>
    </row>
    <row r="67">
      <c r="A67" s="6" t="s">
        <v>97</v>
      </c>
      <c r="B67" s="6" t="s">
        <v>45</v>
      </c>
      <c r="C67" s="6">
        <v>125.0</v>
      </c>
      <c r="D67" s="6">
        <v>392.0</v>
      </c>
      <c r="E67" s="6">
        <v>3.2</v>
      </c>
      <c r="F67" s="6">
        <v>37.0</v>
      </c>
      <c r="G67" s="10">
        <f t="shared" si="1"/>
        <v>3.378378378</v>
      </c>
      <c r="H67" s="6">
        <v>392.0</v>
      </c>
      <c r="I67" s="6">
        <v>0.0</v>
      </c>
      <c r="J67" s="6">
        <v>0.0</v>
      </c>
      <c r="K67" s="6">
        <v>7.0</v>
      </c>
      <c r="L67" s="6">
        <v>30.0</v>
      </c>
    </row>
    <row r="68">
      <c r="A68" s="6" t="s">
        <v>121</v>
      </c>
      <c r="B68" s="6" t="s">
        <v>45</v>
      </c>
      <c r="C68" s="6">
        <v>125.0</v>
      </c>
      <c r="D68" s="6">
        <v>388.0</v>
      </c>
      <c r="E68" s="6">
        <v>3.2</v>
      </c>
      <c r="F68" s="6">
        <v>39.0</v>
      </c>
      <c r="G68" s="10">
        <f t="shared" si="1"/>
        <v>3.205128205</v>
      </c>
      <c r="H68" s="6">
        <v>388.0</v>
      </c>
      <c r="I68" s="6">
        <v>0.0</v>
      </c>
      <c r="J68" s="6">
        <v>0.0</v>
      </c>
      <c r="K68" s="6">
        <v>7.0</v>
      </c>
      <c r="L68" s="6">
        <v>32.0</v>
      </c>
    </row>
    <row r="69">
      <c r="A69" s="6" t="s">
        <v>116</v>
      </c>
      <c r="B69" s="6" t="s">
        <v>45</v>
      </c>
      <c r="C69" s="6">
        <v>125.0</v>
      </c>
      <c r="D69" s="6">
        <v>380.0</v>
      </c>
      <c r="E69" s="6">
        <v>3.6</v>
      </c>
      <c r="F69" s="6">
        <v>40.0</v>
      </c>
      <c r="G69" s="10">
        <f t="shared" si="1"/>
        <v>3.125</v>
      </c>
      <c r="H69" s="6">
        <v>380.0</v>
      </c>
      <c r="I69" s="6">
        <v>0.0</v>
      </c>
      <c r="J69" s="6">
        <v>1.0</v>
      </c>
      <c r="K69" s="6">
        <v>9.0</v>
      </c>
      <c r="L69" s="6">
        <v>30.0</v>
      </c>
    </row>
    <row r="70">
      <c r="A70" s="6" t="s">
        <v>102</v>
      </c>
      <c r="B70" s="6" t="s">
        <v>45</v>
      </c>
      <c r="C70" s="6">
        <v>125.0</v>
      </c>
      <c r="D70" s="6">
        <v>369.0</v>
      </c>
      <c r="E70" s="6">
        <v>3.4</v>
      </c>
      <c r="F70" s="6">
        <v>38.0</v>
      </c>
      <c r="G70" s="10">
        <f t="shared" si="1"/>
        <v>3.289473684</v>
      </c>
      <c r="H70" s="6">
        <v>369.0</v>
      </c>
      <c r="I70" s="6">
        <v>0.0</v>
      </c>
      <c r="J70" s="6">
        <v>0.0</v>
      </c>
      <c r="K70" s="6">
        <v>5.0</v>
      </c>
      <c r="L70" s="6">
        <v>33.0</v>
      </c>
    </row>
    <row r="71">
      <c r="A71" s="6" t="s">
        <v>147</v>
      </c>
      <c r="B71" s="6" t="s">
        <v>45</v>
      </c>
      <c r="C71" s="6">
        <v>125.0</v>
      </c>
      <c r="D71" s="6">
        <v>383.0</v>
      </c>
      <c r="E71" s="6">
        <v>3.6</v>
      </c>
      <c r="F71" s="6">
        <v>38.0</v>
      </c>
      <c r="G71" s="10">
        <f t="shared" si="1"/>
        <v>3.289473684</v>
      </c>
      <c r="H71" s="6">
        <v>383.0</v>
      </c>
      <c r="I71" s="6">
        <v>0.0</v>
      </c>
      <c r="J71" s="6">
        <v>0.0</v>
      </c>
      <c r="K71" s="6">
        <v>7.0</v>
      </c>
      <c r="L71" s="6">
        <v>31.0</v>
      </c>
    </row>
    <row r="72">
      <c r="A72" s="6" t="s">
        <v>146</v>
      </c>
      <c r="B72" s="6" t="s">
        <v>45</v>
      </c>
      <c r="C72" s="6">
        <v>150.0</v>
      </c>
      <c r="D72" s="6">
        <v>479.0</v>
      </c>
      <c r="E72" s="6">
        <v>5.2</v>
      </c>
      <c r="F72" s="6">
        <v>46.0</v>
      </c>
      <c r="G72" s="10">
        <f t="shared" si="1"/>
        <v>3.260869565</v>
      </c>
      <c r="H72" s="6">
        <v>479.0</v>
      </c>
      <c r="I72" s="6">
        <v>0.0</v>
      </c>
      <c r="J72" s="6">
        <v>1.0</v>
      </c>
      <c r="K72" s="6">
        <v>5.0</v>
      </c>
      <c r="L72" s="6">
        <v>40.0</v>
      </c>
    </row>
    <row r="73">
      <c r="A73" s="6" t="s">
        <v>89</v>
      </c>
      <c r="B73" s="6" t="s">
        <v>45</v>
      </c>
      <c r="C73" s="6">
        <v>150.0</v>
      </c>
      <c r="D73" s="6">
        <v>478.0</v>
      </c>
      <c r="E73" s="6">
        <v>5.1</v>
      </c>
      <c r="F73" s="6">
        <v>46.0</v>
      </c>
      <c r="G73" s="10">
        <f t="shared" si="1"/>
        <v>3.260869565</v>
      </c>
      <c r="H73" s="6">
        <v>478.0</v>
      </c>
      <c r="I73" s="6">
        <v>0.0</v>
      </c>
      <c r="J73" s="6">
        <v>1.0</v>
      </c>
      <c r="K73" s="6">
        <v>9.0</v>
      </c>
      <c r="L73" s="6">
        <v>36.0</v>
      </c>
    </row>
    <row r="74">
      <c r="A74" s="6" t="s">
        <v>47</v>
      </c>
      <c r="B74" s="6" t="s">
        <v>45</v>
      </c>
      <c r="C74" s="6">
        <v>150.0</v>
      </c>
      <c r="D74" s="6">
        <v>482.0</v>
      </c>
      <c r="E74" s="6">
        <v>4.8</v>
      </c>
      <c r="F74" s="6">
        <v>45.0</v>
      </c>
      <c r="G74" s="10">
        <f t="shared" si="1"/>
        <v>3.333333333</v>
      </c>
      <c r="H74" s="6">
        <v>482.0</v>
      </c>
      <c r="I74" s="6">
        <v>0.0</v>
      </c>
      <c r="J74" s="6">
        <v>1.0</v>
      </c>
      <c r="K74" s="6">
        <v>10.0</v>
      </c>
      <c r="L74" s="6">
        <v>34.0</v>
      </c>
    </row>
    <row r="75">
      <c r="A75" s="6" t="s">
        <v>137</v>
      </c>
      <c r="B75" s="6" t="s">
        <v>45</v>
      </c>
      <c r="C75" s="6">
        <v>150.0</v>
      </c>
      <c r="D75" s="6">
        <v>484.0</v>
      </c>
      <c r="E75" s="6">
        <v>4.6</v>
      </c>
      <c r="F75" s="6">
        <v>46.0</v>
      </c>
      <c r="G75" s="10">
        <f t="shared" si="1"/>
        <v>3.260869565</v>
      </c>
      <c r="H75" s="6">
        <v>484.0</v>
      </c>
      <c r="I75" s="6">
        <v>0.0</v>
      </c>
      <c r="J75" s="6">
        <v>2.0</v>
      </c>
      <c r="K75" s="6">
        <v>13.0</v>
      </c>
      <c r="L75" s="6">
        <v>31.0</v>
      </c>
    </row>
    <row r="76">
      <c r="A76" s="6" t="s">
        <v>136</v>
      </c>
      <c r="B76" s="6" t="s">
        <v>45</v>
      </c>
      <c r="C76" s="6">
        <v>150.0</v>
      </c>
      <c r="D76" s="6">
        <v>456.0</v>
      </c>
      <c r="E76" s="6">
        <v>5.0</v>
      </c>
      <c r="F76" s="6">
        <v>47.0</v>
      </c>
      <c r="G76" s="10">
        <f t="shared" si="1"/>
        <v>3.191489362</v>
      </c>
      <c r="H76" s="6">
        <v>456.0</v>
      </c>
      <c r="I76" s="6">
        <v>0.0</v>
      </c>
      <c r="J76" s="6">
        <v>0.0</v>
      </c>
      <c r="K76" s="6">
        <v>11.0</v>
      </c>
      <c r="L76" s="6">
        <v>36.0</v>
      </c>
    </row>
    <row r="77">
      <c r="A77" s="6" t="s">
        <v>128</v>
      </c>
      <c r="B77" s="6" t="s">
        <v>45</v>
      </c>
      <c r="C77" s="6">
        <v>200.0</v>
      </c>
      <c r="D77" s="6">
        <v>680.0</v>
      </c>
      <c r="E77" s="6">
        <v>9.2</v>
      </c>
      <c r="F77" s="6">
        <v>61.0</v>
      </c>
      <c r="G77" s="10">
        <f t="shared" si="1"/>
        <v>3.278688525</v>
      </c>
      <c r="H77" s="6">
        <v>680.0</v>
      </c>
      <c r="I77" s="6">
        <v>0.0</v>
      </c>
      <c r="J77" s="6">
        <v>1.0</v>
      </c>
      <c r="K77" s="6">
        <v>16.0</v>
      </c>
      <c r="L77" s="6">
        <v>44.0</v>
      </c>
    </row>
    <row r="78">
      <c r="A78" s="6" t="s">
        <v>68</v>
      </c>
      <c r="B78" s="6" t="s">
        <v>45</v>
      </c>
      <c r="C78" s="6">
        <v>200.0</v>
      </c>
      <c r="D78" s="6">
        <v>675.0</v>
      </c>
      <c r="E78" s="6">
        <v>9.0</v>
      </c>
      <c r="F78" s="6">
        <v>61.0</v>
      </c>
      <c r="G78" s="10">
        <f t="shared" si="1"/>
        <v>3.278688525</v>
      </c>
      <c r="H78" s="6">
        <v>675.0</v>
      </c>
      <c r="I78" s="6">
        <v>0.0</v>
      </c>
      <c r="J78" s="6">
        <v>1.0</v>
      </c>
      <c r="K78" s="6">
        <v>19.0</v>
      </c>
      <c r="L78" s="6">
        <v>41.0</v>
      </c>
    </row>
    <row r="79">
      <c r="A79" s="6" t="s">
        <v>112</v>
      </c>
      <c r="B79" s="6" t="s">
        <v>45</v>
      </c>
      <c r="C79" s="6">
        <v>200.0</v>
      </c>
      <c r="D79" s="6">
        <v>684.0</v>
      </c>
      <c r="E79" s="6">
        <v>8.2</v>
      </c>
      <c r="F79" s="6">
        <v>59.0</v>
      </c>
      <c r="G79" s="10">
        <f t="shared" si="1"/>
        <v>3.389830508</v>
      </c>
      <c r="H79" s="6">
        <v>684.0</v>
      </c>
      <c r="I79" s="6">
        <v>0.0</v>
      </c>
      <c r="J79" s="6">
        <v>1.0</v>
      </c>
      <c r="K79" s="6">
        <v>14.0</v>
      </c>
      <c r="L79" s="6">
        <v>44.0</v>
      </c>
    </row>
    <row r="80">
      <c r="A80" s="6" t="s">
        <v>145</v>
      </c>
      <c r="B80" s="6" t="s">
        <v>45</v>
      </c>
      <c r="C80" s="6">
        <v>200.0</v>
      </c>
      <c r="D80" s="6">
        <v>684.0</v>
      </c>
      <c r="E80" s="6">
        <v>8.6</v>
      </c>
      <c r="F80" s="6">
        <v>60.0</v>
      </c>
      <c r="G80" s="10">
        <f t="shared" si="1"/>
        <v>3.333333333</v>
      </c>
      <c r="H80" s="6">
        <v>684.0</v>
      </c>
      <c r="I80" s="6">
        <v>0.0</v>
      </c>
      <c r="J80" s="6">
        <v>0.0</v>
      </c>
      <c r="K80" s="6">
        <v>17.0</v>
      </c>
      <c r="L80" s="6">
        <v>43.0</v>
      </c>
    </row>
    <row r="81">
      <c r="A81" s="6" t="s">
        <v>56</v>
      </c>
      <c r="B81" s="6" t="s">
        <v>45</v>
      </c>
      <c r="C81" s="6">
        <v>200.0</v>
      </c>
      <c r="D81" s="6">
        <v>684.0</v>
      </c>
      <c r="E81" s="6">
        <v>9.0</v>
      </c>
      <c r="F81" s="6">
        <v>61.0</v>
      </c>
      <c r="G81" s="10">
        <f t="shared" si="1"/>
        <v>3.278688525</v>
      </c>
      <c r="H81" s="6">
        <v>684.0</v>
      </c>
      <c r="I81" s="6">
        <v>0.0</v>
      </c>
      <c r="J81" s="6">
        <v>1.0</v>
      </c>
      <c r="K81" s="6">
        <v>16.0</v>
      </c>
      <c r="L81" s="6">
        <v>44.0</v>
      </c>
    </row>
    <row r="82">
      <c r="A82" s="6" t="s">
        <v>77</v>
      </c>
      <c r="B82" s="6" t="s">
        <v>45</v>
      </c>
      <c r="C82" s="6">
        <v>250.0</v>
      </c>
      <c r="D82" s="6">
        <v>855.0</v>
      </c>
      <c r="E82" s="6">
        <v>13.9</v>
      </c>
      <c r="F82" s="6">
        <v>76.0</v>
      </c>
      <c r="G82" s="10">
        <f t="shared" si="1"/>
        <v>3.289473684</v>
      </c>
      <c r="H82" s="6">
        <v>855.0</v>
      </c>
      <c r="I82" s="6">
        <v>0.0</v>
      </c>
      <c r="J82" s="6">
        <v>0.0</v>
      </c>
      <c r="K82" s="6">
        <v>25.0</v>
      </c>
      <c r="L82" s="6">
        <v>51.0</v>
      </c>
    </row>
    <row r="83">
      <c r="A83" s="6" t="s">
        <v>67</v>
      </c>
      <c r="B83" s="6" t="s">
        <v>45</v>
      </c>
      <c r="C83" s="6">
        <v>250.0</v>
      </c>
      <c r="D83" s="6">
        <v>845.0</v>
      </c>
      <c r="E83" s="6">
        <v>13.7</v>
      </c>
      <c r="F83" s="6">
        <v>74.0</v>
      </c>
      <c r="G83" s="10">
        <f t="shared" si="1"/>
        <v>3.378378378</v>
      </c>
      <c r="H83" s="6">
        <v>845.0</v>
      </c>
      <c r="I83" s="6">
        <v>0.0</v>
      </c>
      <c r="J83" s="6">
        <v>2.0</v>
      </c>
      <c r="K83" s="6">
        <v>14.0</v>
      </c>
      <c r="L83" s="6">
        <v>58.0</v>
      </c>
    </row>
    <row r="84">
      <c r="A84" s="6" t="s">
        <v>70</v>
      </c>
      <c r="B84" s="6" t="s">
        <v>45</v>
      </c>
      <c r="C84" s="6">
        <v>250.0</v>
      </c>
      <c r="D84" s="6">
        <v>853.0</v>
      </c>
      <c r="E84" s="6">
        <v>13.7</v>
      </c>
      <c r="F84" s="6">
        <v>74.0</v>
      </c>
      <c r="G84" s="10">
        <f t="shared" si="1"/>
        <v>3.378378378</v>
      </c>
      <c r="H84" s="6">
        <v>853.0</v>
      </c>
      <c r="I84" s="6">
        <v>0.0</v>
      </c>
      <c r="J84" s="6">
        <v>1.0</v>
      </c>
      <c r="K84" s="6">
        <v>20.0</v>
      </c>
      <c r="L84" s="6">
        <v>53.0</v>
      </c>
    </row>
    <row r="85">
      <c r="A85" s="6" t="s">
        <v>104</v>
      </c>
      <c r="B85" s="6" t="s">
        <v>45</v>
      </c>
      <c r="C85" s="6">
        <v>250.0</v>
      </c>
      <c r="D85" s="6">
        <v>847.0</v>
      </c>
      <c r="E85" s="6">
        <v>13.6</v>
      </c>
      <c r="F85" s="6">
        <v>74.0</v>
      </c>
      <c r="G85" s="10">
        <f t="shared" si="1"/>
        <v>3.378378378</v>
      </c>
      <c r="H85" s="6">
        <v>847.0</v>
      </c>
      <c r="I85" s="6">
        <v>0.0</v>
      </c>
      <c r="J85" s="6">
        <v>0.0</v>
      </c>
      <c r="K85" s="6">
        <v>18.0</v>
      </c>
      <c r="L85" s="6">
        <v>56.0</v>
      </c>
    </row>
    <row r="86">
      <c r="A86" s="6" t="s">
        <v>84</v>
      </c>
      <c r="B86" s="6" t="s">
        <v>45</v>
      </c>
      <c r="C86" s="6">
        <v>250.0</v>
      </c>
      <c r="D86" s="6">
        <v>858.0</v>
      </c>
      <c r="E86" s="6">
        <v>13.5</v>
      </c>
      <c r="F86" s="6">
        <v>74.0</v>
      </c>
      <c r="G86" s="10">
        <f t="shared" si="1"/>
        <v>3.378378378</v>
      </c>
      <c r="H86" s="6">
        <v>858.0</v>
      </c>
      <c r="I86" s="6">
        <v>0.0</v>
      </c>
      <c r="J86" s="6">
        <v>0.0</v>
      </c>
      <c r="K86" s="6">
        <v>16.0</v>
      </c>
      <c r="L86" s="6">
        <v>58.0</v>
      </c>
    </row>
    <row r="87">
      <c r="A87" s="6" t="s">
        <v>107</v>
      </c>
      <c r="B87" s="6" t="s">
        <v>45</v>
      </c>
      <c r="C87" s="6">
        <v>300.0</v>
      </c>
      <c r="D87" s="6">
        <v>981.0</v>
      </c>
      <c r="E87" s="6">
        <v>20.1</v>
      </c>
      <c r="F87" s="6">
        <v>89.0</v>
      </c>
      <c r="G87" s="10">
        <f t="shared" si="1"/>
        <v>3.370786517</v>
      </c>
      <c r="H87" s="6">
        <v>981.0</v>
      </c>
      <c r="I87" s="6">
        <v>0.0</v>
      </c>
      <c r="J87" s="6">
        <v>0.0</v>
      </c>
      <c r="K87" s="6">
        <v>14.0</v>
      </c>
      <c r="L87" s="6">
        <v>75.0</v>
      </c>
    </row>
    <row r="88">
      <c r="A88" s="6" t="s">
        <v>80</v>
      </c>
      <c r="B88" s="6" t="s">
        <v>45</v>
      </c>
      <c r="C88" s="6">
        <v>300.0</v>
      </c>
      <c r="D88" s="6">
        <v>963.0</v>
      </c>
      <c r="E88" s="6">
        <v>20.1</v>
      </c>
      <c r="F88" s="6">
        <v>91.0</v>
      </c>
      <c r="G88" s="10">
        <f t="shared" si="1"/>
        <v>3.296703297</v>
      </c>
      <c r="H88" s="6">
        <v>963.0</v>
      </c>
      <c r="I88" s="6">
        <v>0.0</v>
      </c>
      <c r="J88" s="6">
        <v>2.0</v>
      </c>
      <c r="K88" s="6">
        <v>18.0</v>
      </c>
      <c r="L88" s="6">
        <v>71.0</v>
      </c>
    </row>
    <row r="89">
      <c r="A89" s="6" t="s">
        <v>151</v>
      </c>
      <c r="B89" s="6" t="s">
        <v>45</v>
      </c>
      <c r="C89" s="6">
        <v>300.0</v>
      </c>
      <c r="D89" s="6">
        <v>943.0</v>
      </c>
      <c r="E89" s="6">
        <v>20.2</v>
      </c>
      <c r="F89" s="6">
        <v>94.0</v>
      </c>
      <c r="G89" s="10">
        <f t="shared" si="1"/>
        <v>3.191489362</v>
      </c>
      <c r="H89" s="6">
        <v>943.0</v>
      </c>
      <c r="I89" s="6">
        <v>0.0</v>
      </c>
      <c r="J89" s="6">
        <v>2.0</v>
      </c>
      <c r="K89" s="6">
        <v>24.0</v>
      </c>
      <c r="L89" s="6">
        <v>68.0</v>
      </c>
    </row>
    <row r="90">
      <c r="A90" s="6" t="s">
        <v>118</v>
      </c>
      <c r="B90" s="6" t="s">
        <v>45</v>
      </c>
      <c r="C90" s="6">
        <v>300.0</v>
      </c>
      <c r="D90" s="6">
        <v>1002.0</v>
      </c>
      <c r="E90" s="6">
        <v>20.3</v>
      </c>
      <c r="F90" s="6">
        <v>90.0</v>
      </c>
      <c r="G90" s="10">
        <f t="shared" si="1"/>
        <v>3.333333333</v>
      </c>
      <c r="H90" s="6">
        <v>1002.0</v>
      </c>
      <c r="I90" s="6">
        <v>0.0</v>
      </c>
      <c r="J90" s="6">
        <v>1.0</v>
      </c>
      <c r="K90" s="6">
        <v>17.0</v>
      </c>
      <c r="L90" s="6">
        <v>72.0</v>
      </c>
    </row>
    <row r="91">
      <c r="A91" s="6" t="s">
        <v>152</v>
      </c>
      <c r="B91" s="6" t="s">
        <v>45</v>
      </c>
      <c r="C91" s="6">
        <v>300.0</v>
      </c>
      <c r="D91" s="6">
        <v>954.0</v>
      </c>
      <c r="E91" s="6">
        <v>20.0</v>
      </c>
      <c r="F91" s="6">
        <v>91.0</v>
      </c>
      <c r="G91" s="10">
        <f t="shared" si="1"/>
        <v>3.296703297</v>
      </c>
      <c r="H91" s="6">
        <v>954.0</v>
      </c>
      <c r="I91" s="6">
        <v>0.0</v>
      </c>
      <c r="J91" s="6">
        <v>1.0</v>
      </c>
      <c r="K91" s="6">
        <v>13.0</v>
      </c>
      <c r="L91" s="6">
        <v>77.0</v>
      </c>
    </row>
    <row r="92">
      <c r="A92" s="6" t="s">
        <v>99</v>
      </c>
      <c r="B92" s="6" t="s">
        <v>45</v>
      </c>
      <c r="C92" s="6">
        <v>400.0</v>
      </c>
      <c r="D92" s="6">
        <v>1235.0</v>
      </c>
      <c r="E92" s="6">
        <v>37.3</v>
      </c>
      <c r="F92" s="6">
        <v>120.0</v>
      </c>
      <c r="G92" s="10">
        <f t="shared" si="1"/>
        <v>3.333333333</v>
      </c>
      <c r="H92" s="6">
        <v>1235.0</v>
      </c>
      <c r="I92" s="6">
        <v>0.0</v>
      </c>
      <c r="J92" s="6">
        <v>1.0</v>
      </c>
      <c r="K92" s="6">
        <v>16.0</v>
      </c>
      <c r="L92" s="6">
        <v>103.0</v>
      </c>
    </row>
    <row r="93">
      <c r="A93" s="6" t="s">
        <v>149</v>
      </c>
      <c r="B93" s="6" t="s">
        <v>45</v>
      </c>
      <c r="C93" s="6">
        <v>400.0</v>
      </c>
      <c r="D93" s="6">
        <v>1215.0</v>
      </c>
      <c r="E93" s="6">
        <v>37.4</v>
      </c>
      <c r="F93" s="6">
        <v>121.0</v>
      </c>
      <c r="G93" s="10">
        <f t="shared" si="1"/>
        <v>3.305785124</v>
      </c>
      <c r="H93" s="6">
        <v>1215.0</v>
      </c>
      <c r="I93" s="6">
        <v>0.0</v>
      </c>
      <c r="J93" s="6">
        <v>0.0</v>
      </c>
      <c r="K93" s="6">
        <v>19.0</v>
      </c>
      <c r="L93" s="6">
        <v>102.0</v>
      </c>
    </row>
    <row r="94">
      <c r="A94" s="6" t="s">
        <v>139</v>
      </c>
      <c r="B94" s="6" t="s">
        <v>45</v>
      </c>
      <c r="C94" s="6">
        <v>400.0</v>
      </c>
      <c r="D94" s="6">
        <v>1224.0</v>
      </c>
      <c r="E94" s="6">
        <v>37.1</v>
      </c>
      <c r="F94" s="6">
        <v>122.0</v>
      </c>
      <c r="G94" s="10">
        <f t="shared" si="1"/>
        <v>3.278688525</v>
      </c>
      <c r="H94" s="6">
        <v>1224.0</v>
      </c>
      <c r="I94" s="6">
        <v>0.0</v>
      </c>
      <c r="J94" s="6">
        <v>0.0</v>
      </c>
      <c r="K94" s="6">
        <v>15.0</v>
      </c>
      <c r="L94" s="6">
        <v>107.0</v>
      </c>
    </row>
    <row r="95">
      <c r="A95" s="6" t="s">
        <v>113</v>
      </c>
      <c r="B95" s="6" t="s">
        <v>45</v>
      </c>
      <c r="C95" s="6">
        <v>400.0</v>
      </c>
      <c r="D95" s="6">
        <v>1244.0</v>
      </c>
      <c r="E95" s="6">
        <v>36.9</v>
      </c>
      <c r="F95" s="6">
        <v>117.0</v>
      </c>
      <c r="G95" s="10">
        <f t="shared" si="1"/>
        <v>3.418803419</v>
      </c>
      <c r="H95" s="6">
        <v>1244.0</v>
      </c>
      <c r="I95" s="6">
        <v>0.0</v>
      </c>
      <c r="J95" s="6">
        <v>0.0</v>
      </c>
      <c r="K95" s="6">
        <v>13.0</v>
      </c>
      <c r="L95" s="6">
        <v>104.0</v>
      </c>
    </row>
    <row r="96">
      <c r="A96" s="6" t="s">
        <v>138</v>
      </c>
      <c r="B96" s="6" t="s">
        <v>45</v>
      </c>
      <c r="C96" s="6">
        <v>400.0</v>
      </c>
      <c r="D96" s="6">
        <v>1253.0</v>
      </c>
      <c r="E96" s="6">
        <v>37.6</v>
      </c>
      <c r="F96" s="6">
        <v>119.0</v>
      </c>
      <c r="G96" s="10">
        <f t="shared" si="1"/>
        <v>3.361344538</v>
      </c>
      <c r="H96" s="6">
        <v>1253.0</v>
      </c>
      <c r="I96" s="6">
        <v>0.0</v>
      </c>
      <c r="J96" s="6">
        <v>1.0</v>
      </c>
      <c r="K96" s="6">
        <v>18.0</v>
      </c>
      <c r="L96" s="6">
        <v>100.0</v>
      </c>
    </row>
    <row r="97">
      <c r="A97" s="6" t="s">
        <v>82</v>
      </c>
      <c r="B97" s="6" t="s">
        <v>45</v>
      </c>
      <c r="C97" s="6">
        <v>500.0</v>
      </c>
      <c r="D97" s="6">
        <v>1483.0</v>
      </c>
      <c r="E97" s="6">
        <v>60.0</v>
      </c>
      <c r="F97" s="6">
        <v>151.0</v>
      </c>
      <c r="G97" s="10">
        <f t="shared" si="1"/>
        <v>3.311258278</v>
      </c>
      <c r="H97" s="6">
        <v>1483.0</v>
      </c>
      <c r="I97" s="6">
        <v>0.0</v>
      </c>
      <c r="J97" s="6">
        <v>1.0</v>
      </c>
      <c r="K97" s="6">
        <v>14.0</v>
      </c>
      <c r="L97" s="6">
        <v>136.0</v>
      </c>
    </row>
    <row r="98">
      <c r="A98" s="6" t="s">
        <v>142</v>
      </c>
      <c r="B98" s="6" t="s">
        <v>45</v>
      </c>
      <c r="C98" s="6">
        <v>500.0</v>
      </c>
      <c r="D98" s="6">
        <v>1485.0</v>
      </c>
      <c r="E98" s="6">
        <v>60.6</v>
      </c>
      <c r="F98" s="6">
        <v>150.0</v>
      </c>
      <c r="G98" s="10">
        <f t="shared" si="1"/>
        <v>3.333333333</v>
      </c>
      <c r="H98" s="6">
        <v>1485.0</v>
      </c>
      <c r="I98" s="6">
        <v>0.0</v>
      </c>
      <c r="J98" s="6">
        <v>0.0</v>
      </c>
      <c r="K98" s="6">
        <v>21.0</v>
      </c>
      <c r="L98" s="6">
        <v>129.0</v>
      </c>
    </row>
    <row r="99">
      <c r="A99" s="6" t="s">
        <v>57</v>
      </c>
      <c r="B99" s="6" t="s">
        <v>45</v>
      </c>
      <c r="C99" s="6">
        <v>500.0</v>
      </c>
      <c r="D99" s="6">
        <v>1502.0</v>
      </c>
      <c r="E99" s="6">
        <v>66.2</v>
      </c>
      <c r="F99" s="6">
        <v>153.0</v>
      </c>
      <c r="G99" s="10">
        <f t="shared" si="1"/>
        <v>3.267973856</v>
      </c>
      <c r="H99" s="6">
        <v>1502.0</v>
      </c>
      <c r="I99" s="6">
        <v>0.0</v>
      </c>
      <c r="J99" s="6">
        <v>0.0</v>
      </c>
      <c r="K99" s="6">
        <v>15.0</v>
      </c>
      <c r="L99" s="6">
        <v>138.0</v>
      </c>
    </row>
    <row r="100">
      <c r="A100" s="6" t="s">
        <v>48</v>
      </c>
      <c r="B100" s="6" t="s">
        <v>45</v>
      </c>
      <c r="C100" s="6">
        <v>500.0</v>
      </c>
      <c r="D100" s="6">
        <v>1477.0</v>
      </c>
      <c r="E100" s="6">
        <v>61.5</v>
      </c>
      <c r="F100" s="6">
        <v>150.0</v>
      </c>
      <c r="G100" s="10">
        <f t="shared" si="1"/>
        <v>3.333333333</v>
      </c>
      <c r="H100" s="6">
        <v>1477.0</v>
      </c>
      <c r="I100" s="6">
        <v>0.0</v>
      </c>
      <c r="J100" s="6">
        <v>0.0</v>
      </c>
      <c r="K100" s="6">
        <v>18.0</v>
      </c>
      <c r="L100" s="6">
        <v>132.0</v>
      </c>
    </row>
    <row r="101">
      <c r="A101" s="6" t="s">
        <v>78</v>
      </c>
      <c r="B101" s="6" t="s">
        <v>45</v>
      </c>
      <c r="C101" s="6">
        <v>500.0</v>
      </c>
      <c r="D101" s="6">
        <v>1493.0</v>
      </c>
      <c r="E101" s="6">
        <v>61.6</v>
      </c>
      <c r="F101" s="6">
        <v>155.0</v>
      </c>
      <c r="G101" s="10">
        <f t="shared" si="1"/>
        <v>3.225806452</v>
      </c>
      <c r="H101" s="6">
        <v>1493.0</v>
      </c>
      <c r="I101" s="6">
        <v>0.0</v>
      </c>
      <c r="J101" s="6">
        <v>0.0</v>
      </c>
      <c r="K101" s="6">
        <v>17.0</v>
      </c>
      <c r="L101" s="6">
        <v>138.0</v>
      </c>
    </row>
    <row r="102">
      <c r="A102" s="6" t="s">
        <v>90</v>
      </c>
      <c r="B102" s="6" t="s">
        <v>45</v>
      </c>
      <c r="C102" s="6">
        <v>750.0</v>
      </c>
      <c r="D102" s="6">
        <v>2115.0</v>
      </c>
      <c r="E102" s="6">
        <v>149.0</v>
      </c>
      <c r="F102" s="6">
        <v>226.0</v>
      </c>
      <c r="G102" s="10">
        <f t="shared" si="1"/>
        <v>3.318584071</v>
      </c>
      <c r="H102" s="6">
        <v>2115.0</v>
      </c>
      <c r="I102" s="6">
        <v>0.0</v>
      </c>
      <c r="J102" s="6">
        <v>0.0</v>
      </c>
      <c r="K102" s="6">
        <v>18.0</v>
      </c>
      <c r="L102" s="6">
        <v>208.0</v>
      </c>
    </row>
    <row r="103">
      <c r="A103" s="6" t="s">
        <v>127</v>
      </c>
      <c r="B103" s="6" t="s">
        <v>45</v>
      </c>
      <c r="C103" s="6">
        <v>750.0</v>
      </c>
      <c r="D103" s="6">
        <v>2124.0</v>
      </c>
      <c r="E103" s="6">
        <v>145.9</v>
      </c>
      <c r="F103" s="6">
        <v>229.0</v>
      </c>
      <c r="G103" s="10">
        <f t="shared" si="1"/>
        <v>3.27510917</v>
      </c>
      <c r="H103" s="6">
        <v>2124.0</v>
      </c>
      <c r="I103" s="6">
        <v>0.0</v>
      </c>
      <c r="J103" s="6">
        <v>2.0</v>
      </c>
      <c r="K103" s="6">
        <v>20.0</v>
      </c>
      <c r="L103" s="6">
        <v>207.0</v>
      </c>
    </row>
    <row r="104">
      <c r="A104" s="6" t="s">
        <v>81</v>
      </c>
      <c r="B104" s="6" t="s">
        <v>45</v>
      </c>
      <c r="C104" s="6">
        <v>750.0</v>
      </c>
      <c r="D104" s="6">
        <v>2159.0</v>
      </c>
      <c r="E104" s="6">
        <v>146.6</v>
      </c>
      <c r="F104" s="6">
        <v>223.0</v>
      </c>
      <c r="G104" s="10">
        <f t="shared" si="1"/>
        <v>3.3632287</v>
      </c>
      <c r="H104" s="6">
        <v>2159.0</v>
      </c>
      <c r="I104" s="6">
        <v>0.0</v>
      </c>
      <c r="J104" s="6">
        <v>0.0</v>
      </c>
      <c r="K104" s="6">
        <v>17.0</v>
      </c>
      <c r="L104" s="6">
        <v>206.0</v>
      </c>
    </row>
    <row r="105">
      <c r="A105" s="6" t="s">
        <v>154</v>
      </c>
      <c r="B105" s="6" t="s">
        <v>45</v>
      </c>
      <c r="C105" s="6">
        <v>750.0</v>
      </c>
      <c r="D105" s="6">
        <v>2139.0</v>
      </c>
      <c r="E105" s="6">
        <v>144.6</v>
      </c>
      <c r="F105" s="6">
        <v>223.0</v>
      </c>
      <c r="G105" s="10">
        <f t="shared" si="1"/>
        <v>3.3632287</v>
      </c>
      <c r="H105" s="6">
        <v>2139.0</v>
      </c>
      <c r="I105" s="6">
        <v>0.0</v>
      </c>
      <c r="J105" s="6">
        <v>0.0</v>
      </c>
      <c r="K105" s="6">
        <v>16.0</v>
      </c>
      <c r="L105" s="6">
        <v>207.0</v>
      </c>
    </row>
    <row r="106">
      <c r="A106" s="6" t="s">
        <v>129</v>
      </c>
      <c r="B106" s="6" t="s">
        <v>45</v>
      </c>
      <c r="C106" s="6">
        <v>750.0</v>
      </c>
      <c r="D106" s="6">
        <v>2123.0</v>
      </c>
      <c r="E106" s="6">
        <v>146.5</v>
      </c>
      <c r="F106" s="6">
        <v>225.0</v>
      </c>
      <c r="G106" s="10">
        <f t="shared" si="1"/>
        <v>3.333333333</v>
      </c>
      <c r="H106" s="6">
        <v>2123.0</v>
      </c>
      <c r="I106" s="6">
        <v>0.0</v>
      </c>
      <c r="J106" s="6">
        <v>0.0</v>
      </c>
      <c r="K106" s="6">
        <v>11.0</v>
      </c>
      <c r="L106" s="6">
        <v>214.0</v>
      </c>
    </row>
    <row r="107">
      <c r="A107" s="6" t="s">
        <v>83</v>
      </c>
      <c r="B107" s="6" t="s">
        <v>45</v>
      </c>
      <c r="C107" s="6">
        <v>1000.0</v>
      </c>
      <c r="D107" s="6">
        <v>2473.0</v>
      </c>
      <c r="E107" s="6">
        <v>283.6</v>
      </c>
      <c r="F107" s="6">
        <v>304.0</v>
      </c>
      <c r="G107" s="10">
        <f t="shared" si="1"/>
        <v>3.289473684</v>
      </c>
      <c r="H107" s="6">
        <v>2473.0</v>
      </c>
      <c r="I107" s="6">
        <v>0.0</v>
      </c>
      <c r="J107" s="6">
        <v>0.0</v>
      </c>
      <c r="K107" s="6">
        <v>22.0</v>
      </c>
      <c r="L107" s="6">
        <v>282.0</v>
      </c>
    </row>
    <row r="108">
      <c r="A108" s="6" t="s">
        <v>144</v>
      </c>
      <c r="B108" s="6" t="s">
        <v>45</v>
      </c>
      <c r="C108" s="6">
        <v>1000.0</v>
      </c>
      <c r="D108" s="6">
        <v>2724.0</v>
      </c>
      <c r="E108" s="6">
        <v>273.6</v>
      </c>
      <c r="F108" s="6">
        <v>302.0</v>
      </c>
      <c r="G108" s="10">
        <f t="shared" si="1"/>
        <v>3.311258278</v>
      </c>
      <c r="H108" s="6">
        <v>2724.0</v>
      </c>
      <c r="I108" s="6">
        <v>0.0</v>
      </c>
      <c r="J108" s="6">
        <v>1.0</v>
      </c>
      <c r="K108" s="6">
        <v>12.0</v>
      </c>
      <c r="L108" s="6">
        <v>289.0</v>
      </c>
    </row>
    <row r="109">
      <c r="A109" s="6" t="s">
        <v>63</v>
      </c>
      <c r="B109" s="6" t="s">
        <v>45</v>
      </c>
      <c r="C109" s="6">
        <v>1000.0</v>
      </c>
      <c r="D109" s="6">
        <v>2629.0</v>
      </c>
      <c r="E109" s="6">
        <v>270.9</v>
      </c>
      <c r="F109" s="6">
        <v>305.0</v>
      </c>
      <c r="G109" s="10">
        <f t="shared" si="1"/>
        <v>3.278688525</v>
      </c>
      <c r="H109" s="6">
        <v>2629.0</v>
      </c>
      <c r="I109" s="6">
        <v>0.0</v>
      </c>
      <c r="J109" s="6">
        <v>1.0</v>
      </c>
      <c r="K109" s="6">
        <v>28.0</v>
      </c>
      <c r="L109" s="6">
        <v>276.0</v>
      </c>
    </row>
    <row r="110">
      <c r="A110" s="6" t="s">
        <v>79</v>
      </c>
      <c r="B110" s="6" t="s">
        <v>45</v>
      </c>
      <c r="C110" s="6">
        <v>1000.0</v>
      </c>
      <c r="D110" s="6">
        <v>2718.0</v>
      </c>
      <c r="E110" s="6">
        <v>286.3</v>
      </c>
      <c r="F110" s="6">
        <v>305.0</v>
      </c>
      <c r="G110" s="10">
        <f t="shared" si="1"/>
        <v>3.278688525</v>
      </c>
      <c r="H110" s="6">
        <v>2718.0</v>
      </c>
      <c r="I110" s="6">
        <v>0.0</v>
      </c>
      <c r="J110" s="6">
        <v>0.0</v>
      </c>
      <c r="K110" s="6">
        <v>15.0</v>
      </c>
      <c r="L110" s="6">
        <v>290.0</v>
      </c>
    </row>
    <row r="111">
      <c r="A111" s="6" t="s">
        <v>64</v>
      </c>
      <c r="B111" s="6" t="s">
        <v>45</v>
      </c>
      <c r="C111" s="6">
        <v>1000.0</v>
      </c>
      <c r="D111" s="6">
        <v>2722.0</v>
      </c>
      <c r="E111" s="6">
        <v>279.4</v>
      </c>
      <c r="F111" s="6">
        <v>300.0</v>
      </c>
      <c r="G111" s="10">
        <f t="shared" si="1"/>
        <v>3.333333333</v>
      </c>
      <c r="H111" s="6">
        <v>2722.0</v>
      </c>
      <c r="I111" s="6">
        <v>0.0</v>
      </c>
      <c r="J111" s="6">
        <v>0.0</v>
      </c>
      <c r="K111" s="6">
        <v>19.0</v>
      </c>
      <c r="L111" s="6">
        <v>281.0</v>
      </c>
    </row>
  </sheetData>
  <autoFilter ref="$A$1:$L$11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63"/>
    <col customWidth="1" min="3" max="3" width="18.25"/>
    <col customWidth="1" min="4" max="4" width="12.63"/>
    <col customWidth="1" min="6" max="6" width="19.75"/>
    <col customWidth="1" min="7" max="7" width="15.63"/>
    <col customWidth="1" min="8" max="8" width="16.88"/>
    <col customWidth="1" min="9" max="9" width="20.25"/>
  </cols>
  <sheetData>
    <row r="1">
      <c r="A1" s="6" t="s">
        <v>38</v>
      </c>
      <c r="B1" s="6" t="s">
        <v>39</v>
      </c>
      <c r="C1" s="6" t="s">
        <v>40</v>
      </c>
      <c r="D1" s="6" t="s">
        <v>155</v>
      </c>
      <c r="E1" s="6" t="s">
        <v>156</v>
      </c>
      <c r="F1" s="6" t="s">
        <v>157</v>
      </c>
      <c r="G1" s="6" t="s">
        <v>158</v>
      </c>
      <c r="H1" s="6" t="s">
        <v>159</v>
      </c>
      <c r="I1" s="6" t="s">
        <v>160</v>
      </c>
      <c r="J1" s="6" t="s">
        <v>161</v>
      </c>
      <c r="K1" s="6" t="s">
        <v>162</v>
      </c>
      <c r="L1" s="6" t="s">
        <v>163</v>
      </c>
    </row>
    <row r="2">
      <c r="A2" s="6" t="s">
        <v>93</v>
      </c>
      <c r="B2" s="6" t="s">
        <v>53</v>
      </c>
      <c r="C2" s="6">
        <v>10.0</v>
      </c>
      <c r="D2" s="6">
        <v>185.0</v>
      </c>
      <c r="E2" s="6">
        <v>0.0</v>
      </c>
      <c r="F2" s="6">
        <v>3.0</v>
      </c>
      <c r="G2" s="10">
        <f t="shared" ref="G2:G111" si="1">C2/F2</f>
        <v>3.333333333</v>
      </c>
      <c r="H2" s="6">
        <v>70.0</v>
      </c>
      <c r="I2" s="6">
        <v>0.0</v>
      </c>
      <c r="J2" s="6">
        <v>1.0</v>
      </c>
      <c r="K2" s="6">
        <v>1.0</v>
      </c>
      <c r="L2" s="6">
        <v>1.0</v>
      </c>
    </row>
    <row r="3">
      <c r="A3" s="6" t="s">
        <v>36</v>
      </c>
      <c r="B3" s="6" t="s">
        <v>53</v>
      </c>
      <c r="C3" s="6">
        <v>10.0</v>
      </c>
      <c r="D3" s="6">
        <v>159.0</v>
      </c>
      <c r="E3" s="6">
        <v>0.0</v>
      </c>
      <c r="F3" s="6">
        <v>3.0</v>
      </c>
      <c r="G3" s="10">
        <f t="shared" si="1"/>
        <v>3.333333333</v>
      </c>
      <c r="H3" s="6">
        <v>119.0</v>
      </c>
      <c r="I3" s="6">
        <v>0.0</v>
      </c>
      <c r="J3" s="6">
        <v>2.0</v>
      </c>
      <c r="K3" s="6">
        <v>1.0</v>
      </c>
      <c r="L3" s="6">
        <v>0.0</v>
      </c>
    </row>
    <row r="4">
      <c r="A4" s="6" t="s">
        <v>55</v>
      </c>
      <c r="B4" s="6" t="s">
        <v>53</v>
      </c>
      <c r="C4" s="6">
        <v>15.0</v>
      </c>
      <c r="D4" s="6">
        <v>378.0</v>
      </c>
      <c r="E4" s="6">
        <v>0.1</v>
      </c>
      <c r="F4" s="6">
        <v>5.0</v>
      </c>
      <c r="G4" s="10">
        <f t="shared" si="1"/>
        <v>3</v>
      </c>
      <c r="H4" s="6">
        <v>158.0</v>
      </c>
      <c r="I4" s="6">
        <v>0.0</v>
      </c>
      <c r="J4" s="6">
        <v>3.0</v>
      </c>
      <c r="K4" s="6">
        <v>2.0</v>
      </c>
      <c r="L4" s="6">
        <v>0.0</v>
      </c>
    </row>
    <row r="5">
      <c r="A5" s="6" t="s">
        <v>141</v>
      </c>
      <c r="B5" s="6" t="s">
        <v>53</v>
      </c>
      <c r="C5" s="6">
        <v>15.0</v>
      </c>
      <c r="D5" s="6">
        <v>247.0</v>
      </c>
      <c r="E5" s="6">
        <v>0.1</v>
      </c>
      <c r="F5" s="6">
        <v>4.0</v>
      </c>
      <c r="G5" s="10">
        <f t="shared" si="1"/>
        <v>3.75</v>
      </c>
      <c r="H5" s="6">
        <v>107.0</v>
      </c>
      <c r="I5" s="6">
        <v>0.0</v>
      </c>
      <c r="J5" s="6">
        <v>2.0</v>
      </c>
      <c r="K5" s="6">
        <v>1.0</v>
      </c>
      <c r="L5" s="6">
        <v>1.0</v>
      </c>
    </row>
    <row r="6">
      <c r="A6" s="6" t="s">
        <v>109</v>
      </c>
      <c r="B6" s="6" t="s">
        <v>53</v>
      </c>
      <c r="C6" s="6">
        <v>20.0</v>
      </c>
      <c r="D6" s="6">
        <v>419.0</v>
      </c>
      <c r="E6" s="6">
        <v>0.2</v>
      </c>
      <c r="F6" s="6">
        <v>6.0</v>
      </c>
      <c r="G6" s="10">
        <f t="shared" si="1"/>
        <v>3.333333333</v>
      </c>
      <c r="H6" s="6">
        <v>179.0</v>
      </c>
      <c r="I6" s="6">
        <v>0.0</v>
      </c>
      <c r="J6" s="6">
        <v>2.0</v>
      </c>
      <c r="K6" s="6">
        <v>2.0</v>
      </c>
      <c r="L6" s="6">
        <v>2.0</v>
      </c>
    </row>
    <row r="7">
      <c r="A7" s="6" t="s">
        <v>85</v>
      </c>
      <c r="B7" s="6" t="s">
        <v>53</v>
      </c>
      <c r="C7" s="6">
        <v>20.0</v>
      </c>
      <c r="D7" s="6">
        <v>363.0</v>
      </c>
      <c r="E7" s="6">
        <v>0.1</v>
      </c>
      <c r="F7" s="6">
        <v>7.0</v>
      </c>
      <c r="G7" s="10">
        <f t="shared" si="1"/>
        <v>2.857142857</v>
      </c>
      <c r="H7" s="6">
        <v>168.0</v>
      </c>
      <c r="I7" s="6">
        <v>0.0</v>
      </c>
      <c r="J7" s="6">
        <v>4.0</v>
      </c>
      <c r="K7" s="6">
        <v>3.0</v>
      </c>
      <c r="L7" s="6">
        <v>0.0</v>
      </c>
    </row>
    <row r="8">
      <c r="A8" s="6" t="s">
        <v>105</v>
      </c>
      <c r="B8" s="6" t="s">
        <v>53</v>
      </c>
      <c r="C8" s="6">
        <v>25.0</v>
      </c>
      <c r="D8" s="6">
        <v>467.0</v>
      </c>
      <c r="E8" s="6">
        <v>0.2</v>
      </c>
      <c r="F8" s="6">
        <v>10.0</v>
      </c>
      <c r="G8" s="10">
        <f t="shared" si="1"/>
        <v>2.5</v>
      </c>
      <c r="H8" s="6">
        <v>217.0</v>
      </c>
      <c r="I8" s="6">
        <v>0.0</v>
      </c>
      <c r="J8" s="6">
        <v>7.0</v>
      </c>
      <c r="K8" s="6">
        <v>2.0</v>
      </c>
      <c r="L8" s="6">
        <v>1.0</v>
      </c>
    </row>
    <row r="9">
      <c r="A9" s="6" t="s">
        <v>126</v>
      </c>
      <c r="B9" s="6" t="s">
        <v>53</v>
      </c>
      <c r="C9" s="6">
        <v>30.0</v>
      </c>
      <c r="D9" s="6">
        <v>513.0</v>
      </c>
      <c r="E9" s="6">
        <v>0.2</v>
      </c>
      <c r="F9" s="6">
        <v>10.0</v>
      </c>
      <c r="G9" s="10">
        <f t="shared" si="1"/>
        <v>3</v>
      </c>
      <c r="H9" s="6">
        <v>283.0</v>
      </c>
      <c r="I9" s="6">
        <v>0.0</v>
      </c>
      <c r="J9" s="6">
        <v>6.0</v>
      </c>
      <c r="K9" s="6">
        <v>3.0</v>
      </c>
      <c r="L9" s="6">
        <v>1.0</v>
      </c>
    </row>
    <row r="10">
      <c r="A10" s="6" t="s">
        <v>65</v>
      </c>
      <c r="B10" s="6" t="s">
        <v>53</v>
      </c>
      <c r="C10" s="6">
        <v>30.0</v>
      </c>
      <c r="D10" s="6">
        <v>757.0</v>
      </c>
      <c r="E10" s="6">
        <v>0.2</v>
      </c>
      <c r="F10" s="6">
        <v>10.0</v>
      </c>
      <c r="G10" s="10">
        <f t="shared" si="1"/>
        <v>3</v>
      </c>
      <c r="H10" s="6">
        <v>232.0</v>
      </c>
      <c r="I10" s="6">
        <v>0.0</v>
      </c>
      <c r="J10" s="6">
        <v>5.0</v>
      </c>
      <c r="K10" s="6">
        <v>3.0</v>
      </c>
      <c r="L10" s="6">
        <v>2.0</v>
      </c>
    </row>
    <row r="11">
      <c r="A11" s="6" t="s">
        <v>114</v>
      </c>
      <c r="B11" s="6" t="s">
        <v>53</v>
      </c>
      <c r="C11" s="6">
        <v>40.0</v>
      </c>
      <c r="D11" s="6">
        <v>881.0</v>
      </c>
      <c r="E11" s="6">
        <v>0.4</v>
      </c>
      <c r="F11" s="6">
        <v>13.0</v>
      </c>
      <c r="G11" s="10">
        <f t="shared" si="1"/>
        <v>3.076923077</v>
      </c>
      <c r="H11" s="6">
        <v>256.0</v>
      </c>
      <c r="I11" s="6">
        <v>0.0</v>
      </c>
      <c r="J11" s="6">
        <v>6.0</v>
      </c>
      <c r="K11" s="6">
        <v>4.0</v>
      </c>
      <c r="L11" s="6">
        <v>3.0</v>
      </c>
    </row>
    <row r="12">
      <c r="A12" s="6" t="s">
        <v>69</v>
      </c>
      <c r="B12" s="6" t="s">
        <v>53</v>
      </c>
      <c r="C12" s="6">
        <v>50.0</v>
      </c>
      <c r="D12" s="6">
        <v>1077.0</v>
      </c>
      <c r="E12" s="6">
        <v>0.6</v>
      </c>
      <c r="F12" s="6">
        <v>16.0</v>
      </c>
      <c r="G12" s="10">
        <f t="shared" si="1"/>
        <v>3.125</v>
      </c>
      <c r="H12" s="6">
        <v>437.0</v>
      </c>
      <c r="I12" s="6">
        <v>0.0</v>
      </c>
      <c r="J12" s="6">
        <v>8.0</v>
      </c>
      <c r="K12" s="6">
        <v>4.0</v>
      </c>
      <c r="L12" s="6">
        <v>4.0</v>
      </c>
    </row>
    <row r="13">
      <c r="A13" s="6" t="s">
        <v>150</v>
      </c>
      <c r="B13" s="6" t="s">
        <v>53</v>
      </c>
      <c r="C13" s="6">
        <v>50.0</v>
      </c>
      <c r="D13" s="6">
        <v>1302.0</v>
      </c>
      <c r="E13" s="6">
        <v>0.5</v>
      </c>
      <c r="F13" s="6">
        <v>14.0</v>
      </c>
      <c r="G13" s="10">
        <f t="shared" si="1"/>
        <v>3.571428571</v>
      </c>
      <c r="H13" s="6">
        <v>452.0</v>
      </c>
      <c r="I13" s="6">
        <v>0.0</v>
      </c>
      <c r="J13" s="6">
        <v>6.0</v>
      </c>
      <c r="K13" s="6">
        <v>4.0</v>
      </c>
      <c r="L13" s="6">
        <v>4.0</v>
      </c>
    </row>
    <row r="14">
      <c r="A14" s="6" t="s">
        <v>123</v>
      </c>
      <c r="B14" s="6" t="s">
        <v>53</v>
      </c>
      <c r="C14" s="6">
        <v>75.0</v>
      </c>
      <c r="D14" s="6">
        <v>1327.0</v>
      </c>
      <c r="E14" s="6">
        <v>1.3</v>
      </c>
      <c r="F14" s="6">
        <v>24.0</v>
      </c>
      <c r="G14" s="10">
        <f t="shared" si="1"/>
        <v>3.125</v>
      </c>
      <c r="H14" s="6">
        <v>582.0</v>
      </c>
      <c r="I14" s="6">
        <v>0.0</v>
      </c>
      <c r="J14" s="6">
        <v>10.0</v>
      </c>
      <c r="K14" s="6">
        <v>7.0</v>
      </c>
      <c r="L14" s="6">
        <v>7.0</v>
      </c>
    </row>
    <row r="15">
      <c r="A15" s="6" t="s">
        <v>61</v>
      </c>
      <c r="B15" s="6" t="s">
        <v>53</v>
      </c>
      <c r="C15" s="6">
        <v>100.0</v>
      </c>
      <c r="D15" s="6">
        <v>1196.0</v>
      </c>
      <c r="E15" s="6">
        <v>2.1</v>
      </c>
      <c r="F15" s="6">
        <v>32.0</v>
      </c>
      <c r="G15" s="10">
        <f t="shared" si="1"/>
        <v>3.125</v>
      </c>
      <c r="H15" s="6">
        <v>841.0</v>
      </c>
      <c r="I15" s="6">
        <v>0.0</v>
      </c>
      <c r="J15" s="6">
        <v>21.0</v>
      </c>
      <c r="K15" s="6">
        <v>6.0</v>
      </c>
      <c r="L15" s="6">
        <v>5.0</v>
      </c>
    </row>
    <row r="16">
      <c r="A16" s="6" t="s">
        <v>100</v>
      </c>
      <c r="B16" s="6" t="s">
        <v>53</v>
      </c>
      <c r="C16" s="6">
        <v>100.0</v>
      </c>
      <c r="D16" s="6">
        <v>1612.0</v>
      </c>
      <c r="E16" s="6">
        <v>2.1</v>
      </c>
      <c r="F16" s="6">
        <v>32.0</v>
      </c>
      <c r="G16" s="10">
        <f t="shared" si="1"/>
        <v>3.125</v>
      </c>
      <c r="H16" s="6">
        <v>742.0</v>
      </c>
      <c r="I16" s="6">
        <v>0.0</v>
      </c>
      <c r="J16" s="6">
        <v>17.0</v>
      </c>
      <c r="K16" s="6">
        <v>8.0</v>
      </c>
      <c r="L16" s="6">
        <v>7.0</v>
      </c>
    </row>
    <row r="17">
      <c r="A17" s="6" t="s">
        <v>94</v>
      </c>
      <c r="B17" s="6" t="s">
        <v>53</v>
      </c>
      <c r="C17" s="6">
        <v>150.0</v>
      </c>
      <c r="D17" s="6">
        <v>1800.0</v>
      </c>
      <c r="E17" s="6">
        <v>4.7</v>
      </c>
      <c r="F17" s="6">
        <v>47.0</v>
      </c>
      <c r="G17" s="10">
        <f t="shared" si="1"/>
        <v>3.191489362</v>
      </c>
      <c r="H17" s="6">
        <v>1290.0</v>
      </c>
      <c r="I17" s="6">
        <v>0.0</v>
      </c>
      <c r="J17" s="6">
        <v>28.0</v>
      </c>
      <c r="K17" s="6">
        <v>10.0</v>
      </c>
      <c r="L17" s="6">
        <v>9.0</v>
      </c>
    </row>
    <row r="18">
      <c r="A18" s="6" t="s">
        <v>132</v>
      </c>
      <c r="B18" s="6" t="s">
        <v>53</v>
      </c>
      <c r="C18" s="6">
        <v>208.0</v>
      </c>
      <c r="D18" s="6">
        <v>2214.0</v>
      </c>
      <c r="E18" s="6">
        <v>11.2</v>
      </c>
      <c r="F18" s="6">
        <v>63.0</v>
      </c>
      <c r="G18" s="10">
        <f t="shared" si="1"/>
        <v>3.301587302</v>
      </c>
      <c r="H18" s="6">
        <v>1749.0</v>
      </c>
      <c r="I18" s="6">
        <v>1.0</v>
      </c>
      <c r="J18" s="6">
        <v>38.0</v>
      </c>
      <c r="K18" s="6">
        <v>13.0</v>
      </c>
      <c r="L18" s="6">
        <v>12.0</v>
      </c>
    </row>
    <row r="19">
      <c r="A19" s="6" t="s">
        <v>110</v>
      </c>
      <c r="B19" s="6" t="s">
        <v>53</v>
      </c>
      <c r="C19" s="6">
        <v>208.0</v>
      </c>
      <c r="D19" s="6">
        <v>2712.0</v>
      </c>
      <c r="E19" s="6">
        <v>10.3</v>
      </c>
      <c r="F19" s="6">
        <v>62.0</v>
      </c>
      <c r="G19" s="10">
        <f t="shared" si="1"/>
        <v>3.35483871</v>
      </c>
      <c r="H19" s="6">
        <v>1632.0</v>
      </c>
      <c r="I19" s="6">
        <v>0.0</v>
      </c>
      <c r="J19" s="6">
        <v>28.0</v>
      </c>
      <c r="K19" s="6">
        <v>14.0</v>
      </c>
      <c r="L19" s="6">
        <v>20.0</v>
      </c>
    </row>
    <row r="20">
      <c r="A20" s="6" t="s">
        <v>52</v>
      </c>
      <c r="B20" s="6" t="s">
        <v>53</v>
      </c>
      <c r="C20" s="6">
        <v>300.0</v>
      </c>
      <c r="D20" s="6">
        <v>2976.0</v>
      </c>
      <c r="E20" s="6">
        <v>20.8</v>
      </c>
      <c r="F20" s="6">
        <v>100.0</v>
      </c>
      <c r="G20" s="10">
        <f t="shared" si="1"/>
        <v>3</v>
      </c>
      <c r="H20" s="6">
        <v>2166.0</v>
      </c>
      <c r="I20" s="6">
        <v>0.0</v>
      </c>
      <c r="J20" s="6">
        <v>56.0</v>
      </c>
      <c r="K20" s="6">
        <v>21.0</v>
      </c>
      <c r="L20" s="6">
        <v>23.0</v>
      </c>
    </row>
    <row r="21">
      <c r="A21" s="6" t="s">
        <v>86</v>
      </c>
      <c r="B21" s="6" t="s">
        <v>53</v>
      </c>
      <c r="C21" s="6">
        <v>500.0</v>
      </c>
      <c r="D21" s="6">
        <v>4024.0</v>
      </c>
      <c r="E21" s="6">
        <v>64.9</v>
      </c>
      <c r="F21" s="6">
        <v>167.0</v>
      </c>
      <c r="G21" s="10">
        <f t="shared" si="1"/>
        <v>2.994011976</v>
      </c>
      <c r="H21" s="6">
        <v>3239.0</v>
      </c>
      <c r="I21" s="6">
        <v>0.0</v>
      </c>
      <c r="J21" s="6">
        <v>84.0</v>
      </c>
      <c r="K21" s="6">
        <v>33.0</v>
      </c>
      <c r="L21" s="6">
        <v>50.0</v>
      </c>
    </row>
    <row r="22">
      <c r="A22" s="6" t="s">
        <v>125</v>
      </c>
      <c r="B22" s="6" t="s">
        <v>45</v>
      </c>
      <c r="C22" s="6">
        <v>10.0</v>
      </c>
      <c r="D22" s="6">
        <v>13.0</v>
      </c>
      <c r="E22" s="6">
        <v>0.0</v>
      </c>
      <c r="F22" s="6">
        <v>4.0</v>
      </c>
      <c r="G22" s="10">
        <f t="shared" si="1"/>
        <v>2.5</v>
      </c>
      <c r="H22" s="6">
        <v>13.0</v>
      </c>
      <c r="I22" s="6">
        <v>0.0</v>
      </c>
      <c r="J22" s="6">
        <v>0.0</v>
      </c>
      <c r="K22" s="6">
        <v>0.0</v>
      </c>
      <c r="L22" s="6">
        <v>4.0</v>
      </c>
    </row>
    <row r="23">
      <c r="A23" s="6" t="s">
        <v>111</v>
      </c>
      <c r="B23" s="6" t="s">
        <v>45</v>
      </c>
      <c r="C23" s="6">
        <v>10.0</v>
      </c>
      <c r="D23" s="6">
        <v>12.0</v>
      </c>
      <c r="E23" s="6">
        <v>0.0</v>
      </c>
      <c r="F23" s="6">
        <v>4.0</v>
      </c>
      <c r="G23" s="10">
        <f t="shared" si="1"/>
        <v>2.5</v>
      </c>
      <c r="H23" s="6">
        <v>12.0</v>
      </c>
      <c r="I23" s="6">
        <v>0.0</v>
      </c>
      <c r="J23" s="6">
        <v>0.0</v>
      </c>
      <c r="K23" s="6">
        <v>1.0</v>
      </c>
      <c r="L23" s="6">
        <v>3.0</v>
      </c>
    </row>
    <row r="24">
      <c r="A24" s="6" t="s">
        <v>133</v>
      </c>
      <c r="B24" s="6" t="s">
        <v>45</v>
      </c>
      <c r="C24" s="6">
        <v>10.0</v>
      </c>
      <c r="D24" s="6">
        <v>13.0</v>
      </c>
      <c r="E24" s="6">
        <v>0.0</v>
      </c>
      <c r="F24" s="6">
        <v>4.0</v>
      </c>
      <c r="G24" s="10">
        <f t="shared" si="1"/>
        <v>2.5</v>
      </c>
      <c r="H24" s="6">
        <v>13.0</v>
      </c>
      <c r="I24" s="6">
        <v>0.0</v>
      </c>
      <c r="J24" s="6">
        <v>0.0</v>
      </c>
      <c r="K24" s="6">
        <v>0.0</v>
      </c>
      <c r="L24" s="6">
        <v>4.0</v>
      </c>
    </row>
    <row r="25">
      <c r="A25" s="6" t="s">
        <v>124</v>
      </c>
      <c r="B25" s="6" t="s">
        <v>45</v>
      </c>
      <c r="C25" s="6">
        <v>10.0</v>
      </c>
      <c r="D25" s="6">
        <v>13.0</v>
      </c>
      <c r="E25" s="6">
        <v>0.0</v>
      </c>
      <c r="F25" s="6">
        <v>4.0</v>
      </c>
      <c r="G25" s="10">
        <f t="shared" si="1"/>
        <v>2.5</v>
      </c>
      <c r="H25" s="6">
        <v>13.0</v>
      </c>
      <c r="I25" s="6">
        <v>0.0</v>
      </c>
      <c r="J25" s="6">
        <v>0.0</v>
      </c>
      <c r="K25" s="6">
        <v>1.0</v>
      </c>
      <c r="L25" s="6">
        <v>3.0</v>
      </c>
    </row>
    <row r="26">
      <c r="A26" s="6" t="s">
        <v>49</v>
      </c>
      <c r="B26" s="6" t="s">
        <v>45</v>
      </c>
      <c r="C26" s="6">
        <v>10.0</v>
      </c>
      <c r="D26" s="6">
        <v>20.0</v>
      </c>
      <c r="E26" s="6">
        <v>0.0</v>
      </c>
      <c r="F26" s="6">
        <v>4.0</v>
      </c>
      <c r="G26" s="10">
        <f t="shared" si="1"/>
        <v>2.5</v>
      </c>
      <c r="H26" s="6">
        <v>20.0</v>
      </c>
      <c r="I26" s="6">
        <v>0.0</v>
      </c>
      <c r="J26" s="6">
        <v>0.0</v>
      </c>
      <c r="K26" s="6">
        <v>0.0</v>
      </c>
      <c r="L26" s="6">
        <v>4.0</v>
      </c>
    </row>
    <row r="27">
      <c r="A27" s="6" t="s">
        <v>130</v>
      </c>
      <c r="B27" s="6" t="s">
        <v>45</v>
      </c>
      <c r="C27" s="6">
        <v>15.0</v>
      </c>
      <c r="D27" s="6">
        <v>20.0</v>
      </c>
      <c r="E27" s="6">
        <v>0.1</v>
      </c>
      <c r="F27" s="6">
        <v>5.0</v>
      </c>
      <c r="G27" s="10">
        <f t="shared" si="1"/>
        <v>3</v>
      </c>
      <c r="H27" s="6">
        <v>20.0</v>
      </c>
      <c r="I27" s="6">
        <v>0.0</v>
      </c>
      <c r="J27" s="6">
        <v>0.0</v>
      </c>
      <c r="K27" s="6">
        <v>1.0</v>
      </c>
      <c r="L27" s="6">
        <v>4.0</v>
      </c>
    </row>
    <row r="28">
      <c r="A28" s="6" t="s">
        <v>140</v>
      </c>
      <c r="B28" s="6" t="s">
        <v>45</v>
      </c>
      <c r="C28" s="6">
        <v>15.0</v>
      </c>
      <c r="D28" s="6">
        <v>18.0</v>
      </c>
      <c r="E28" s="6">
        <v>0.1</v>
      </c>
      <c r="F28" s="6">
        <v>5.0</v>
      </c>
      <c r="G28" s="10">
        <f t="shared" si="1"/>
        <v>3</v>
      </c>
      <c r="H28" s="6">
        <v>18.0</v>
      </c>
      <c r="I28" s="6">
        <v>0.0</v>
      </c>
      <c r="J28" s="6">
        <v>0.0</v>
      </c>
      <c r="K28" s="6">
        <v>0.0</v>
      </c>
      <c r="L28" s="6">
        <v>5.0</v>
      </c>
    </row>
    <row r="29">
      <c r="A29" s="6" t="s">
        <v>60</v>
      </c>
      <c r="B29" s="6" t="s">
        <v>45</v>
      </c>
      <c r="C29" s="6">
        <v>15.0</v>
      </c>
      <c r="D29" s="6">
        <v>19.0</v>
      </c>
      <c r="E29" s="6">
        <v>0.1</v>
      </c>
      <c r="F29" s="6">
        <v>5.0</v>
      </c>
      <c r="G29" s="10">
        <f t="shared" si="1"/>
        <v>3</v>
      </c>
      <c r="H29" s="6">
        <v>19.0</v>
      </c>
      <c r="I29" s="6">
        <v>0.0</v>
      </c>
      <c r="J29" s="6">
        <v>0.0</v>
      </c>
      <c r="K29" s="6">
        <v>0.0</v>
      </c>
      <c r="L29" s="6">
        <v>5.0</v>
      </c>
    </row>
    <row r="30">
      <c r="A30" s="6" t="s">
        <v>59</v>
      </c>
      <c r="B30" s="6" t="s">
        <v>45</v>
      </c>
      <c r="C30" s="6">
        <v>15.0</v>
      </c>
      <c r="D30" s="6">
        <v>23.0</v>
      </c>
      <c r="E30" s="6">
        <v>0.1</v>
      </c>
      <c r="F30" s="6">
        <v>5.0</v>
      </c>
      <c r="G30" s="10">
        <f t="shared" si="1"/>
        <v>3</v>
      </c>
      <c r="H30" s="6">
        <v>23.0</v>
      </c>
      <c r="I30" s="6">
        <v>0.0</v>
      </c>
      <c r="J30" s="6">
        <v>0.0</v>
      </c>
      <c r="K30" s="6">
        <v>0.0</v>
      </c>
      <c r="L30" s="6">
        <v>5.0</v>
      </c>
    </row>
    <row r="31">
      <c r="A31" s="6" t="s">
        <v>50</v>
      </c>
      <c r="B31" s="6" t="s">
        <v>45</v>
      </c>
      <c r="C31" s="6">
        <v>15.0</v>
      </c>
      <c r="D31" s="6">
        <v>22.0</v>
      </c>
      <c r="E31" s="6">
        <v>0.1</v>
      </c>
      <c r="F31" s="6">
        <v>5.0</v>
      </c>
      <c r="G31" s="10">
        <f t="shared" si="1"/>
        <v>3</v>
      </c>
      <c r="H31" s="6">
        <v>22.0</v>
      </c>
      <c r="I31" s="6">
        <v>0.0</v>
      </c>
      <c r="J31" s="6">
        <v>0.0</v>
      </c>
      <c r="K31" s="6">
        <v>1.0</v>
      </c>
      <c r="L31" s="6">
        <v>4.0</v>
      </c>
    </row>
    <row r="32">
      <c r="A32" s="6" t="s">
        <v>95</v>
      </c>
      <c r="B32" s="6" t="s">
        <v>45</v>
      </c>
      <c r="C32" s="6">
        <v>20.0</v>
      </c>
      <c r="D32" s="6">
        <v>34.0</v>
      </c>
      <c r="E32" s="6">
        <v>0.1</v>
      </c>
      <c r="F32" s="6">
        <v>6.0</v>
      </c>
      <c r="G32" s="10">
        <f t="shared" si="1"/>
        <v>3.333333333</v>
      </c>
      <c r="H32" s="6">
        <v>34.0</v>
      </c>
      <c r="I32" s="6">
        <v>0.0</v>
      </c>
      <c r="J32" s="6">
        <v>0.0</v>
      </c>
      <c r="K32" s="6">
        <v>0.0</v>
      </c>
      <c r="L32" s="6">
        <v>6.0</v>
      </c>
    </row>
    <row r="33">
      <c r="A33" s="6" t="s">
        <v>73</v>
      </c>
      <c r="B33" s="6" t="s">
        <v>45</v>
      </c>
      <c r="C33" s="6">
        <v>20.0</v>
      </c>
      <c r="D33" s="6">
        <v>31.0</v>
      </c>
      <c r="E33" s="6">
        <v>0.1</v>
      </c>
      <c r="F33" s="6">
        <v>6.0</v>
      </c>
      <c r="G33" s="10">
        <f t="shared" si="1"/>
        <v>3.333333333</v>
      </c>
      <c r="H33" s="6">
        <v>31.0</v>
      </c>
      <c r="I33" s="6">
        <v>0.0</v>
      </c>
      <c r="J33" s="6">
        <v>0.0</v>
      </c>
      <c r="K33" s="6">
        <v>0.0</v>
      </c>
      <c r="L33" s="6">
        <v>6.0</v>
      </c>
    </row>
    <row r="34">
      <c r="A34" s="6" t="s">
        <v>46</v>
      </c>
      <c r="B34" s="6" t="s">
        <v>45</v>
      </c>
      <c r="C34" s="6">
        <v>20.0</v>
      </c>
      <c r="D34" s="6">
        <v>25.0</v>
      </c>
      <c r="E34" s="6">
        <v>0.1</v>
      </c>
      <c r="F34" s="6">
        <v>6.0</v>
      </c>
      <c r="G34" s="10">
        <f t="shared" si="1"/>
        <v>3.333333333</v>
      </c>
      <c r="H34" s="6">
        <v>25.0</v>
      </c>
      <c r="I34" s="6">
        <v>0.0</v>
      </c>
      <c r="J34" s="6">
        <v>0.0</v>
      </c>
      <c r="K34" s="6">
        <v>0.0</v>
      </c>
      <c r="L34" s="6">
        <v>6.0</v>
      </c>
    </row>
    <row r="35">
      <c r="A35" s="6" t="s">
        <v>103</v>
      </c>
      <c r="B35" s="6" t="s">
        <v>45</v>
      </c>
      <c r="C35" s="6">
        <v>20.0</v>
      </c>
      <c r="D35" s="6">
        <v>26.0</v>
      </c>
      <c r="E35" s="6">
        <v>0.1</v>
      </c>
      <c r="F35" s="6">
        <v>7.0</v>
      </c>
      <c r="G35" s="10">
        <f t="shared" si="1"/>
        <v>2.857142857</v>
      </c>
      <c r="H35" s="6">
        <v>26.0</v>
      </c>
      <c r="I35" s="6">
        <v>0.0</v>
      </c>
      <c r="J35" s="6">
        <v>0.0</v>
      </c>
      <c r="K35" s="6">
        <v>1.0</v>
      </c>
      <c r="L35" s="6">
        <v>6.0</v>
      </c>
    </row>
    <row r="36">
      <c r="A36" s="6" t="s">
        <v>131</v>
      </c>
      <c r="B36" s="6" t="s">
        <v>45</v>
      </c>
      <c r="C36" s="6">
        <v>20.0</v>
      </c>
      <c r="D36" s="6">
        <v>35.0</v>
      </c>
      <c r="E36" s="6">
        <v>0.1</v>
      </c>
      <c r="F36" s="6">
        <v>7.0</v>
      </c>
      <c r="G36" s="10">
        <f t="shared" si="1"/>
        <v>2.857142857</v>
      </c>
      <c r="H36" s="6">
        <v>35.0</v>
      </c>
      <c r="I36" s="6">
        <v>0.0</v>
      </c>
      <c r="J36" s="6">
        <v>0.0</v>
      </c>
      <c r="K36" s="6">
        <v>1.0</v>
      </c>
      <c r="L36" s="6">
        <v>6.0</v>
      </c>
    </row>
    <row r="37">
      <c r="A37" s="6" t="s">
        <v>115</v>
      </c>
      <c r="B37" s="6" t="s">
        <v>45</v>
      </c>
      <c r="C37" s="6">
        <v>25.0</v>
      </c>
      <c r="D37" s="6">
        <v>34.0</v>
      </c>
      <c r="E37" s="6">
        <v>0.2</v>
      </c>
      <c r="F37" s="6">
        <v>8.0</v>
      </c>
      <c r="G37" s="10">
        <f t="shared" si="1"/>
        <v>3.125</v>
      </c>
      <c r="H37" s="6">
        <v>34.0</v>
      </c>
      <c r="I37" s="6">
        <v>0.0</v>
      </c>
      <c r="J37" s="6">
        <v>0.0</v>
      </c>
      <c r="K37" s="6">
        <v>0.0</v>
      </c>
      <c r="L37" s="6">
        <v>8.0</v>
      </c>
    </row>
    <row r="38">
      <c r="A38" s="6" t="s">
        <v>71</v>
      </c>
      <c r="B38" s="6" t="s">
        <v>45</v>
      </c>
      <c r="C38" s="6">
        <v>25.0</v>
      </c>
      <c r="D38" s="6">
        <v>44.0</v>
      </c>
      <c r="E38" s="6">
        <v>0.2</v>
      </c>
      <c r="F38" s="6">
        <v>8.0</v>
      </c>
      <c r="G38" s="10">
        <f t="shared" si="1"/>
        <v>3.125</v>
      </c>
      <c r="H38" s="6">
        <v>44.0</v>
      </c>
      <c r="I38" s="6">
        <v>0.0</v>
      </c>
      <c r="J38" s="6">
        <v>0.0</v>
      </c>
      <c r="K38" s="6">
        <v>1.0</v>
      </c>
      <c r="L38" s="6">
        <v>7.0</v>
      </c>
    </row>
    <row r="39">
      <c r="A39" s="6" t="s">
        <v>87</v>
      </c>
      <c r="B39" s="6" t="s">
        <v>45</v>
      </c>
      <c r="C39" s="6">
        <v>25.0</v>
      </c>
      <c r="D39" s="6">
        <v>41.0</v>
      </c>
      <c r="E39" s="6">
        <v>0.2</v>
      </c>
      <c r="F39" s="6">
        <v>8.0</v>
      </c>
      <c r="G39" s="10">
        <f t="shared" si="1"/>
        <v>3.125</v>
      </c>
      <c r="H39" s="6">
        <v>41.0</v>
      </c>
      <c r="I39" s="6">
        <v>0.0</v>
      </c>
      <c r="J39" s="6">
        <v>0.0</v>
      </c>
      <c r="K39" s="6">
        <v>1.0</v>
      </c>
      <c r="L39" s="6">
        <v>7.0</v>
      </c>
    </row>
    <row r="40">
      <c r="A40" s="6" t="s">
        <v>44</v>
      </c>
      <c r="B40" s="6" t="s">
        <v>45</v>
      </c>
      <c r="C40" s="6">
        <v>25.0</v>
      </c>
      <c r="D40" s="6">
        <v>43.0</v>
      </c>
      <c r="E40" s="6">
        <v>0.2</v>
      </c>
      <c r="F40" s="6">
        <v>9.0</v>
      </c>
      <c r="G40" s="10">
        <f t="shared" si="1"/>
        <v>2.777777778</v>
      </c>
      <c r="H40" s="6">
        <v>43.0</v>
      </c>
      <c r="I40" s="6">
        <v>0.0</v>
      </c>
      <c r="J40" s="6">
        <v>0.0</v>
      </c>
      <c r="K40" s="6">
        <v>1.0</v>
      </c>
      <c r="L40" s="6">
        <v>8.0</v>
      </c>
    </row>
    <row r="41">
      <c r="A41" s="6" t="s">
        <v>134</v>
      </c>
      <c r="B41" s="6" t="s">
        <v>45</v>
      </c>
      <c r="C41" s="6">
        <v>25.0</v>
      </c>
      <c r="D41" s="6">
        <v>45.0</v>
      </c>
      <c r="E41" s="6">
        <v>0.2</v>
      </c>
      <c r="F41" s="6">
        <v>8.0</v>
      </c>
      <c r="G41" s="10">
        <f t="shared" si="1"/>
        <v>3.125</v>
      </c>
      <c r="H41" s="6">
        <v>45.0</v>
      </c>
      <c r="I41" s="6">
        <v>0.0</v>
      </c>
      <c r="J41" s="6">
        <v>0.0</v>
      </c>
      <c r="K41" s="6">
        <v>0.0</v>
      </c>
      <c r="L41" s="6">
        <v>8.0</v>
      </c>
    </row>
    <row r="42">
      <c r="A42" s="6" t="s">
        <v>153</v>
      </c>
      <c r="B42" s="6" t="s">
        <v>45</v>
      </c>
      <c r="C42" s="6">
        <v>30.0</v>
      </c>
      <c r="D42" s="6">
        <v>54.0</v>
      </c>
      <c r="E42" s="6">
        <v>0.2</v>
      </c>
      <c r="F42" s="6">
        <v>8.0</v>
      </c>
      <c r="G42" s="10">
        <f t="shared" si="1"/>
        <v>3.75</v>
      </c>
      <c r="H42" s="6">
        <v>54.0</v>
      </c>
      <c r="I42" s="6">
        <v>0.0</v>
      </c>
      <c r="J42" s="6">
        <v>0.0</v>
      </c>
      <c r="K42" s="6">
        <v>0.0</v>
      </c>
      <c r="L42" s="6">
        <v>8.0</v>
      </c>
    </row>
    <row r="43">
      <c r="A43" s="6" t="s">
        <v>51</v>
      </c>
      <c r="B43" s="6" t="s">
        <v>45</v>
      </c>
      <c r="C43" s="6">
        <v>30.0</v>
      </c>
      <c r="D43" s="6">
        <v>59.0</v>
      </c>
      <c r="E43" s="6">
        <v>0.2</v>
      </c>
      <c r="F43" s="6">
        <v>9.0</v>
      </c>
      <c r="G43" s="10">
        <f t="shared" si="1"/>
        <v>3.333333333</v>
      </c>
      <c r="H43" s="6">
        <v>59.0</v>
      </c>
      <c r="I43" s="6">
        <v>0.0</v>
      </c>
      <c r="J43" s="6">
        <v>0.0</v>
      </c>
      <c r="K43" s="6">
        <v>0.0</v>
      </c>
      <c r="L43" s="6">
        <v>9.0</v>
      </c>
    </row>
    <row r="44">
      <c r="A44" s="6" t="s">
        <v>96</v>
      </c>
      <c r="B44" s="6" t="s">
        <v>45</v>
      </c>
      <c r="C44" s="6">
        <v>30.0</v>
      </c>
      <c r="D44" s="6">
        <v>64.0</v>
      </c>
      <c r="E44" s="6">
        <v>0.2</v>
      </c>
      <c r="F44" s="6">
        <v>10.0</v>
      </c>
      <c r="G44" s="10">
        <f t="shared" si="1"/>
        <v>3</v>
      </c>
      <c r="H44" s="6">
        <v>64.0</v>
      </c>
      <c r="I44" s="6">
        <v>0.0</v>
      </c>
      <c r="J44" s="6">
        <v>0.0</v>
      </c>
      <c r="K44" s="6">
        <v>0.0</v>
      </c>
      <c r="L44" s="6">
        <v>10.0</v>
      </c>
    </row>
    <row r="45">
      <c r="A45" s="6" t="s">
        <v>106</v>
      </c>
      <c r="B45" s="6" t="s">
        <v>45</v>
      </c>
      <c r="C45" s="6">
        <v>30.0</v>
      </c>
      <c r="D45" s="6">
        <v>62.0</v>
      </c>
      <c r="E45" s="6">
        <v>0.2</v>
      </c>
      <c r="F45" s="6">
        <v>9.0</v>
      </c>
      <c r="G45" s="10">
        <f t="shared" si="1"/>
        <v>3.333333333</v>
      </c>
      <c r="H45" s="6">
        <v>62.0</v>
      </c>
      <c r="I45" s="6">
        <v>0.0</v>
      </c>
      <c r="J45" s="6">
        <v>0.0</v>
      </c>
      <c r="K45" s="6">
        <v>1.0</v>
      </c>
      <c r="L45" s="6">
        <v>8.0</v>
      </c>
    </row>
    <row r="46">
      <c r="A46" s="6" t="s">
        <v>91</v>
      </c>
      <c r="B46" s="6" t="s">
        <v>45</v>
      </c>
      <c r="C46" s="6">
        <v>30.0</v>
      </c>
      <c r="D46" s="6">
        <v>58.0</v>
      </c>
      <c r="E46" s="6">
        <v>0.2</v>
      </c>
      <c r="F46" s="6">
        <v>9.0</v>
      </c>
      <c r="G46" s="10">
        <f t="shared" si="1"/>
        <v>3.333333333</v>
      </c>
      <c r="H46" s="6">
        <v>58.0</v>
      </c>
      <c r="I46" s="6">
        <v>0.0</v>
      </c>
      <c r="J46" s="6">
        <v>0.0</v>
      </c>
      <c r="K46" s="6">
        <v>0.0</v>
      </c>
      <c r="L46" s="6">
        <v>9.0</v>
      </c>
    </row>
    <row r="47">
      <c r="A47" s="6" t="s">
        <v>66</v>
      </c>
      <c r="B47" s="6" t="s">
        <v>45</v>
      </c>
      <c r="C47" s="6">
        <v>40.0</v>
      </c>
      <c r="D47" s="6">
        <v>88.0</v>
      </c>
      <c r="E47" s="6">
        <v>0.4</v>
      </c>
      <c r="F47" s="6">
        <v>12.0</v>
      </c>
      <c r="G47" s="10">
        <f t="shared" si="1"/>
        <v>3.333333333</v>
      </c>
      <c r="H47" s="6">
        <v>88.0</v>
      </c>
      <c r="I47" s="6">
        <v>0.0</v>
      </c>
      <c r="J47" s="6">
        <v>0.0</v>
      </c>
      <c r="K47" s="6">
        <v>1.0</v>
      </c>
      <c r="L47" s="6">
        <v>11.0</v>
      </c>
    </row>
    <row r="48">
      <c r="A48" s="6" t="s">
        <v>75</v>
      </c>
      <c r="B48" s="6" t="s">
        <v>45</v>
      </c>
      <c r="C48" s="6">
        <v>40.0</v>
      </c>
      <c r="D48" s="6">
        <v>82.0</v>
      </c>
      <c r="E48" s="6">
        <v>0.4</v>
      </c>
      <c r="F48" s="6">
        <v>12.0</v>
      </c>
      <c r="G48" s="10">
        <f t="shared" si="1"/>
        <v>3.333333333</v>
      </c>
      <c r="H48" s="6">
        <v>82.0</v>
      </c>
      <c r="I48" s="6">
        <v>0.0</v>
      </c>
      <c r="J48" s="6">
        <v>0.0</v>
      </c>
      <c r="K48" s="6">
        <v>0.0</v>
      </c>
      <c r="L48" s="6">
        <v>12.0</v>
      </c>
    </row>
    <row r="49">
      <c r="A49" s="6" t="s">
        <v>58</v>
      </c>
      <c r="B49" s="6" t="s">
        <v>45</v>
      </c>
      <c r="C49" s="6">
        <v>40.0</v>
      </c>
      <c r="D49" s="6">
        <v>91.0</v>
      </c>
      <c r="E49" s="6">
        <v>0.4</v>
      </c>
      <c r="F49" s="6">
        <v>13.0</v>
      </c>
      <c r="G49" s="10">
        <f t="shared" si="1"/>
        <v>3.076923077</v>
      </c>
      <c r="H49" s="6">
        <v>91.0</v>
      </c>
      <c r="I49" s="6">
        <v>0.0</v>
      </c>
      <c r="J49" s="6">
        <v>0.0</v>
      </c>
      <c r="K49" s="6">
        <v>0.0</v>
      </c>
      <c r="L49" s="6">
        <v>13.0</v>
      </c>
    </row>
    <row r="50">
      <c r="A50" s="6" t="s">
        <v>108</v>
      </c>
      <c r="B50" s="6" t="s">
        <v>45</v>
      </c>
      <c r="C50" s="6">
        <v>40.0</v>
      </c>
      <c r="D50" s="6">
        <v>93.0</v>
      </c>
      <c r="E50" s="6">
        <v>0.4</v>
      </c>
      <c r="F50" s="6">
        <v>13.0</v>
      </c>
      <c r="G50" s="10">
        <f t="shared" si="1"/>
        <v>3.076923077</v>
      </c>
      <c r="H50" s="6">
        <v>93.0</v>
      </c>
      <c r="I50" s="6">
        <v>0.0</v>
      </c>
      <c r="J50" s="6">
        <v>0.0</v>
      </c>
      <c r="K50" s="6">
        <v>2.0</v>
      </c>
      <c r="L50" s="6">
        <v>11.0</v>
      </c>
    </row>
    <row r="51">
      <c r="A51" s="6" t="s">
        <v>122</v>
      </c>
      <c r="B51" s="6" t="s">
        <v>45</v>
      </c>
      <c r="C51" s="6">
        <v>40.0</v>
      </c>
      <c r="D51" s="6">
        <v>92.0</v>
      </c>
      <c r="E51" s="6">
        <v>0.4</v>
      </c>
      <c r="F51" s="6">
        <v>14.0</v>
      </c>
      <c r="G51" s="10">
        <f t="shared" si="1"/>
        <v>2.857142857</v>
      </c>
      <c r="H51" s="6">
        <v>92.0</v>
      </c>
      <c r="I51" s="6">
        <v>0.0</v>
      </c>
      <c r="J51" s="6">
        <v>0.0</v>
      </c>
      <c r="K51" s="6">
        <v>2.0</v>
      </c>
      <c r="L51" s="6">
        <v>12.0</v>
      </c>
    </row>
    <row r="52">
      <c r="A52" s="6" t="s">
        <v>88</v>
      </c>
      <c r="B52" s="6" t="s">
        <v>45</v>
      </c>
      <c r="C52" s="6">
        <v>50.0</v>
      </c>
      <c r="D52" s="6">
        <v>115.0</v>
      </c>
      <c r="E52" s="6">
        <v>0.6</v>
      </c>
      <c r="F52" s="6">
        <v>16.0</v>
      </c>
      <c r="G52" s="10">
        <f t="shared" si="1"/>
        <v>3.125</v>
      </c>
      <c r="H52" s="6">
        <v>115.0</v>
      </c>
      <c r="I52" s="6">
        <v>0.0</v>
      </c>
      <c r="J52" s="6">
        <v>0.0</v>
      </c>
      <c r="K52" s="6">
        <v>3.0</v>
      </c>
      <c r="L52" s="6">
        <v>13.0</v>
      </c>
    </row>
    <row r="53">
      <c r="A53" s="6" t="s">
        <v>135</v>
      </c>
      <c r="B53" s="6" t="s">
        <v>45</v>
      </c>
      <c r="C53" s="6">
        <v>50.0</v>
      </c>
      <c r="D53" s="6">
        <v>124.0</v>
      </c>
      <c r="E53" s="6">
        <v>0.6</v>
      </c>
      <c r="F53" s="6">
        <v>14.0</v>
      </c>
      <c r="G53" s="10">
        <f t="shared" si="1"/>
        <v>3.571428571</v>
      </c>
      <c r="H53" s="6">
        <v>124.0</v>
      </c>
      <c r="I53" s="6">
        <v>0.0</v>
      </c>
      <c r="J53" s="6">
        <v>0.0</v>
      </c>
      <c r="K53" s="6">
        <v>0.0</v>
      </c>
      <c r="L53" s="6">
        <v>14.0</v>
      </c>
    </row>
    <row r="54">
      <c r="A54" s="6" t="s">
        <v>54</v>
      </c>
      <c r="B54" s="6" t="s">
        <v>45</v>
      </c>
      <c r="C54" s="6">
        <v>50.0</v>
      </c>
      <c r="D54" s="6">
        <v>122.0</v>
      </c>
      <c r="E54" s="6">
        <v>0.6</v>
      </c>
      <c r="F54" s="6">
        <v>16.0</v>
      </c>
      <c r="G54" s="10">
        <f t="shared" si="1"/>
        <v>3.125</v>
      </c>
      <c r="H54" s="6">
        <v>122.0</v>
      </c>
      <c r="I54" s="6">
        <v>0.0</v>
      </c>
      <c r="J54" s="6">
        <v>0.0</v>
      </c>
      <c r="K54" s="6">
        <v>1.0</v>
      </c>
      <c r="L54" s="6">
        <v>15.0</v>
      </c>
    </row>
    <row r="55">
      <c r="A55" s="6" t="s">
        <v>148</v>
      </c>
      <c r="B55" s="6" t="s">
        <v>45</v>
      </c>
      <c r="C55" s="6">
        <v>50.0</v>
      </c>
      <c r="D55" s="6">
        <v>118.0</v>
      </c>
      <c r="E55" s="6">
        <v>0.6</v>
      </c>
      <c r="F55" s="6">
        <v>16.0</v>
      </c>
      <c r="G55" s="10">
        <f t="shared" si="1"/>
        <v>3.125</v>
      </c>
      <c r="H55" s="6">
        <v>118.0</v>
      </c>
      <c r="I55" s="6">
        <v>0.0</v>
      </c>
      <c r="J55" s="6">
        <v>0.0</v>
      </c>
      <c r="K55" s="6">
        <v>2.0</v>
      </c>
      <c r="L55" s="6">
        <v>14.0</v>
      </c>
    </row>
    <row r="56">
      <c r="A56" s="6" t="s">
        <v>76</v>
      </c>
      <c r="B56" s="6" t="s">
        <v>45</v>
      </c>
      <c r="C56" s="6">
        <v>50.0</v>
      </c>
      <c r="D56" s="6">
        <v>127.0</v>
      </c>
      <c r="E56" s="6">
        <v>0.6</v>
      </c>
      <c r="F56" s="6">
        <v>16.0</v>
      </c>
      <c r="G56" s="10">
        <f t="shared" si="1"/>
        <v>3.125</v>
      </c>
      <c r="H56" s="6">
        <v>127.0</v>
      </c>
      <c r="I56" s="6">
        <v>0.0</v>
      </c>
      <c r="J56" s="6">
        <v>0.0</v>
      </c>
      <c r="K56" s="6">
        <v>1.0</v>
      </c>
      <c r="L56" s="6">
        <v>15.0</v>
      </c>
    </row>
    <row r="57">
      <c r="A57" s="6" t="s">
        <v>62</v>
      </c>
      <c r="B57" s="6" t="s">
        <v>45</v>
      </c>
      <c r="C57" s="6">
        <v>75.0</v>
      </c>
      <c r="D57" s="6">
        <v>222.0</v>
      </c>
      <c r="E57" s="6">
        <v>1.2</v>
      </c>
      <c r="F57" s="6">
        <v>22.0</v>
      </c>
      <c r="G57" s="10">
        <f t="shared" si="1"/>
        <v>3.409090909</v>
      </c>
      <c r="H57" s="6">
        <v>222.0</v>
      </c>
      <c r="I57" s="6">
        <v>0.0</v>
      </c>
      <c r="J57" s="6">
        <v>0.0</v>
      </c>
      <c r="K57" s="6">
        <v>4.0</v>
      </c>
      <c r="L57" s="6">
        <v>18.0</v>
      </c>
    </row>
    <row r="58">
      <c r="A58" s="6" t="s">
        <v>72</v>
      </c>
      <c r="B58" s="6" t="s">
        <v>45</v>
      </c>
      <c r="C58" s="6">
        <v>75.0</v>
      </c>
      <c r="D58" s="6">
        <v>192.0</v>
      </c>
      <c r="E58" s="6">
        <v>1.3</v>
      </c>
      <c r="F58" s="6">
        <v>25.0</v>
      </c>
      <c r="G58" s="10">
        <f t="shared" si="1"/>
        <v>3</v>
      </c>
      <c r="H58" s="6">
        <v>192.0</v>
      </c>
      <c r="I58" s="6">
        <v>0.0</v>
      </c>
      <c r="J58" s="6">
        <v>0.0</v>
      </c>
      <c r="K58" s="6">
        <v>4.0</v>
      </c>
      <c r="L58" s="6">
        <v>21.0</v>
      </c>
    </row>
    <row r="59">
      <c r="A59" s="6" t="s">
        <v>74</v>
      </c>
      <c r="B59" s="6" t="s">
        <v>45</v>
      </c>
      <c r="C59" s="6">
        <v>75.0</v>
      </c>
      <c r="D59" s="6">
        <v>197.0</v>
      </c>
      <c r="E59" s="6">
        <v>1.2</v>
      </c>
      <c r="F59" s="6">
        <v>24.0</v>
      </c>
      <c r="G59" s="10">
        <f t="shared" si="1"/>
        <v>3.125</v>
      </c>
      <c r="H59" s="6">
        <v>197.0</v>
      </c>
      <c r="I59" s="6">
        <v>0.0</v>
      </c>
      <c r="J59" s="6">
        <v>0.0</v>
      </c>
      <c r="K59" s="6">
        <v>4.0</v>
      </c>
      <c r="L59" s="6">
        <v>20.0</v>
      </c>
    </row>
    <row r="60">
      <c r="A60" s="6" t="s">
        <v>120</v>
      </c>
      <c r="B60" s="6" t="s">
        <v>45</v>
      </c>
      <c r="C60" s="6">
        <v>75.0</v>
      </c>
      <c r="D60" s="6">
        <v>189.0</v>
      </c>
      <c r="E60" s="6">
        <v>1.3</v>
      </c>
      <c r="F60" s="6">
        <v>23.0</v>
      </c>
      <c r="G60" s="10">
        <f t="shared" si="1"/>
        <v>3.260869565</v>
      </c>
      <c r="H60" s="6">
        <v>189.0</v>
      </c>
      <c r="I60" s="6">
        <v>0.0</v>
      </c>
      <c r="J60" s="6">
        <v>0.0</v>
      </c>
      <c r="K60" s="6">
        <v>4.0</v>
      </c>
      <c r="L60" s="6">
        <v>19.0</v>
      </c>
    </row>
    <row r="61">
      <c r="A61" s="6" t="s">
        <v>119</v>
      </c>
      <c r="B61" s="6" t="s">
        <v>45</v>
      </c>
      <c r="C61" s="6">
        <v>75.0</v>
      </c>
      <c r="D61" s="6">
        <v>198.0</v>
      </c>
      <c r="E61" s="6">
        <v>1.3</v>
      </c>
      <c r="F61" s="6">
        <v>23.0</v>
      </c>
      <c r="G61" s="10">
        <f t="shared" si="1"/>
        <v>3.260869565</v>
      </c>
      <c r="H61" s="6">
        <v>198.0</v>
      </c>
      <c r="I61" s="6">
        <v>0.0</v>
      </c>
      <c r="J61" s="6">
        <v>1.0</v>
      </c>
      <c r="K61" s="6">
        <v>1.0</v>
      </c>
      <c r="L61" s="6">
        <v>21.0</v>
      </c>
    </row>
    <row r="62">
      <c r="A62" s="6" t="s">
        <v>101</v>
      </c>
      <c r="B62" s="6" t="s">
        <v>45</v>
      </c>
      <c r="C62" s="6">
        <v>100.0</v>
      </c>
      <c r="D62" s="6">
        <v>300.0</v>
      </c>
      <c r="E62" s="6">
        <v>2.2</v>
      </c>
      <c r="F62" s="6">
        <v>29.0</v>
      </c>
      <c r="G62" s="10">
        <f t="shared" si="1"/>
        <v>3.448275862</v>
      </c>
      <c r="H62" s="6">
        <v>300.0</v>
      </c>
      <c r="I62" s="6">
        <v>0.0</v>
      </c>
      <c r="J62" s="6">
        <v>0.0</v>
      </c>
      <c r="K62" s="6">
        <v>4.0</v>
      </c>
      <c r="L62" s="6">
        <v>25.0</v>
      </c>
    </row>
    <row r="63">
      <c r="A63" s="6" t="s">
        <v>117</v>
      </c>
      <c r="B63" s="6" t="s">
        <v>45</v>
      </c>
      <c r="C63" s="6">
        <v>100.0</v>
      </c>
      <c r="D63" s="6">
        <v>282.0</v>
      </c>
      <c r="E63" s="6">
        <v>2.3</v>
      </c>
      <c r="F63" s="6">
        <v>33.0</v>
      </c>
      <c r="G63" s="10">
        <f t="shared" si="1"/>
        <v>3.03030303</v>
      </c>
      <c r="H63" s="6">
        <v>282.0</v>
      </c>
      <c r="I63" s="6">
        <v>0.0</v>
      </c>
      <c r="J63" s="6">
        <v>0.0</v>
      </c>
      <c r="K63" s="6">
        <v>8.0</v>
      </c>
      <c r="L63" s="6">
        <v>25.0</v>
      </c>
    </row>
    <row r="64">
      <c r="A64" s="6" t="s">
        <v>98</v>
      </c>
      <c r="B64" s="6" t="s">
        <v>45</v>
      </c>
      <c r="C64" s="6">
        <v>100.0</v>
      </c>
      <c r="D64" s="6">
        <v>300.0</v>
      </c>
      <c r="E64" s="6">
        <v>2.2</v>
      </c>
      <c r="F64" s="6">
        <v>30.0</v>
      </c>
      <c r="G64" s="10">
        <f t="shared" si="1"/>
        <v>3.333333333</v>
      </c>
      <c r="H64" s="6">
        <v>300.0</v>
      </c>
      <c r="I64" s="6">
        <v>0.0</v>
      </c>
      <c r="J64" s="6">
        <v>1.0</v>
      </c>
      <c r="K64" s="6">
        <v>5.0</v>
      </c>
      <c r="L64" s="6">
        <v>24.0</v>
      </c>
    </row>
    <row r="65">
      <c r="A65" s="6" t="s">
        <v>143</v>
      </c>
      <c r="B65" s="6" t="s">
        <v>45</v>
      </c>
      <c r="C65" s="6">
        <v>100.0</v>
      </c>
      <c r="D65" s="6">
        <v>282.0</v>
      </c>
      <c r="E65" s="6">
        <v>2.3</v>
      </c>
      <c r="F65" s="6">
        <v>32.0</v>
      </c>
      <c r="G65" s="10">
        <f t="shared" si="1"/>
        <v>3.125</v>
      </c>
      <c r="H65" s="6">
        <v>282.0</v>
      </c>
      <c r="I65" s="6">
        <v>0.0</v>
      </c>
      <c r="J65" s="6">
        <v>0.0</v>
      </c>
      <c r="K65" s="6">
        <v>7.0</v>
      </c>
      <c r="L65" s="6">
        <v>25.0</v>
      </c>
    </row>
    <row r="66">
      <c r="A66" s="6" t="s">
        <v>92</v>
      </c>
      <c r="B66" s="6" t="s">
        <v>45</v>
      </c>
      <c r="C66" s="6">
        <v>100.0</v>
      </c>
      <c r="D66" s="6">
        <v>305.0</v>
      </c>
      <c r="E66" s="6">
        <v>2.2</v>
      </c>
      <c r="F66" s="6">
        <v>29.0</v>
      </c>
      <c r="G66" s="10">
        <f t="shared" si="1"/>
        <v>3.448275862</v>
      </c>
      <c r="H66" s="6">
        <v>305.0</v>
      </c>
      <c r="I66" s="6">
        <v>0.0</v>
      </c>
      <c r="J66" s="6">
        <v>0.0</v>
      </c>
      <c r="K66" s="6">
        <v>3.0</v>
      </c>
      <c r="L66" s="6">
        <v>26.0</v>
      </c>
    </row>
    <row r="67">
      <c r="A67" s="6" t="s">
        <v>97</v>
      </c>
      <c r="B67" s="6" t="s">
        <v>45</v>
      </c>
      <c r="C67" s="6">
        <v>125.0</v>
      </c>
      <c r="D67" s="6">
        <v>392.0</v>
      </c>
      <c r="E67" s="6">
        <v>3.4</v>
      </c>
      <c r="F67" s="6">
        <v>37.0</v>
      </c>
      <c r="G67" s="10">
        <f t="shared" si="1"/>
        <v>3.378378378</v>
      </c>
      <c r="H67" s="6">
        <v>392.0</v>
      </c>
      <c r="I67" s="6">
        <v>0.0</v>
      </c>
      <c r="J67" s="6">
        <v>0.0</v>
      </c>
      <c r="K67" s="6">
        <v>7.0</v>
      </c>
      <c r="L67" s="6">
        <v>30.0</v>
      </c>
    </row>
    <row r="68">
      <c r="A68" s="6" t="s">
        <v>121</v>
      </c>
      <c r="B68" s="6" t="s">
        <v>45</v>
      </c>
      <c r="C68" s="6">
        <v>125.0</v>
      </c>
      <c r="D68" s="6">
        <v>388.0</v>
      </c>
      <c r="E68" s="6">
        <v>3.6</v>
      </c>
      <c r="F68" s="6">
        <v>39.0</v>
      </c>
      <c r="G68" s="10">
        <f t="shared" si="1"/>
        <v>3.205128205</v>
      </c>
      <c r="H68" s="6">
        <v>388.0</v>
      </c>
      <c r="I68" s="6">
        <v>0.0</v>
      </c>
      <c r="J68" s="6">
        <v>0.0</v>
      </c>
      <c r="K68" s="6">
        <v>7.0</v>
      </c>
      <c r="L68" s="6">
        <v>32.0</v>
      </c>
    </row>
    <row r="69">
      <c r="A69" s="6" t="s">
        <v>116</v>
      </c>
      <c r="B69" s="6" t="s">
        <v>45</v>
      </c>
      <c r="C69" s="6">
        <v>125.0</v>
      </c>
      <c r="D69" s="6">
        <v>380.0</v>
      </c>
      <c r="E69" s="6">
        <v>3.7</v>
      </c>
      <c r="F69" s="6">
        <v>40.0</v>
      </c>
      <c r="G69" s="10">
        <f t="shared" si="1"/>
        <v>3.125</v>
      </c>
      <c r="H69" s="6">
        <v>380.0</v>
      </c>
      <c r="I69" s="6">
        <v>0.0</v>
      </c>
      <c r="J69" s="6">
        <v>1.0</v>
      </c>
      <c r="K69" s="6">
        <v>9.0</v>
      </c>
      <c r="L69" s="6">
        <v>30.0</v>
      </c>
    </row>
    <row r="70">
      <c r="A70" s="6" t="s">
        <v>102</v>
      </c>
      <c r="B70" s="6" t="s">
        <v>45</v>
      </c>
      <c r="C70" s="6">
        <v>125.0</v>
      </c>
      <c r="D70" s="6">
        <v>368.0</v>
      </c>
      <c r="E70" s="6">
        <v>3.5</v>
      </c>
      <c r="F70" s="6">
        <v>38.0</v>
      </c>
      <c r="G70" s="10">
        <f t="shared" si="1"/>
        <v>3.289473684</v>
      </c>
      <c r="H70" s="6">
        <v>368.0</v>
      </c>
      <c r="I70" s="6">
        <v>0.0</v>
      </c>
      <c r="J70" s="6">
        <v>0.0</v>
      </c>
      <c r="K70" s="6">
        <v>1.0</v>
      </c>
      <c r="L70" s="6">
        <v>37.0</v>
      </c>
    </row>
    <row r="71">
      <c r="A71" s="6" t="s">
        <v>147</v>
      </c>
      <c r="B71" s="6" t="s">
        <v>45</v>
      </c>
      <c r="C71" s="6">
        <v>125.0</v>
      </c>
      <c r="D71" s="6">
        <v>384.0</v>
      </c>
      <c r="E71" s="6">
        <v>3.4</v>
      </c>
      <c r="F71" s="6">
        <v>38.0</v>
      </c>
      <c r="G71" s="10">
        <f t="shared" si="1"/>
        <v>3.289473684</v>
      </c>
      <c r="H71" s="6">
        <v>384.0</v>
      </c>
      <c r="I71" s="6">
        <v>0.0</v>
      </c>
      <c r="J71" s="6">
        <v>0.0</v>
      </c>
      <c r="K71" s="6">
        <v>7.0</v>
      </c>
      <c r="L71" s="6">
        <v>31.0</v>
      </c>
    </row>
    <row r="72">
      <c r="A72" s="6" t="s">
        <v>146</v>
      </c>
      <c r="B72" s="6" t="s">
        <v>45</v>
      </c>
      <c r="C72" s="6">
        <v>150.0</v>
      </c>
      <c r="D72" s="6">
        <v>478.0</v>
      </c>
      <c r="E72" s="6">
        <v>5.0</v>
      </c>
      <c r="F72" s="6">
        <v>46.0</v>
      </c>
      <c r="G72" s="10">
        <f t="shared" si="1"/>
        <v>3.260869565</v>
      </c>
      <c r="H72" s="6">
        <v>478.0</v>
      </c>
      <c r="I72" s="6">
        <v>0.0</v>
      </c>
      <c r="J72" s="6">
        <v>1.0</v>
      </c>
      <c r="K72" s="6">
        <v>8.0</v>
      </c>
      <c r="L72" s="6">
        <v>37.0</v>
      </c>
    </row>
    <row r="73">
      <c r="A73" s="6" t="s">
        <v>89</v>
      </c>
      <c r="B73" s="6" t="s">
        <v>45</v>
      </c>
      <c r="C73" s="6">
        <v>150.0</v>
      </c>
      <c r="D73" s="6">
        <v>477.0</v>
      </c>
      <c r="E73" s="6">
        <v>4.8</v>
      </c>
      <c r="F73" s="6">
        <v>46.0</v>
      </c>
      <c r="G73" s="10">
        <f t="shared" si="1"/>
        <v>3.260869565</v>
      </c>
      <c r="H73" s="6">
        <v>477.0</v>
      </c>
      <c r="I73" s="6">
        <v>0.0</v>
      </c>
      <c r="J73" s="6">
        <v>1.0</v>
      </c>
      <c r="K73" s="6">
        <v>5.0</v>
      </c>
      <c r="L73" s="6">
        <v>40.0</v>
      </c>
    </row>
    <row r="74">
      <c r="A74" s="6" t="s">
        <v>47</v>
      </c>
      <c r="B74" s="6" t="s">
        <v>45</v>
      </c>
      <c r="C74" s="6">
        <v>150.0</v>
      </c>
      <c r="D74" s="6">
        <v>484.0</v>
      </c>
      <c r="E74" s="6">
        <v>5.0</v>
      </c>
      <c r="F74" s="6">
        <v>45.0</v>
      </c>
      <c r="G74" s="10">
        <f t="shared" si="1"/>
        <v>3.333333333</v>
      </c>
      <c r="H74" s="6">
        <v>484.0</v>
      </c>
      <c r="I74" s="6">
        <v>0.0</v>
      </c>
      <c r="J74" s="6">
        <v>1.0</v>
      </c>
      <c r="K74" s="6">
        <v>9.0</v>
      </c>
      <c r="L74" s="6">
        <v>35.0</v>
      </c>
    </row>
    <row r="75">
      <c r="A75" s="6" t="s">
        <v>137</v>
      </c>
      <c r="B75" s="6" t="s">
        <v>45</v>
      </c>
      <c r="C75" s="6">
        <v>150.0</v>
      </c>
      <c r="D75" s="6">
        <v>484.0</v>
      </c>
      <c r="E75" s="6">
        <v>5.0</v>
      </c>
      <c r="F75" s="6">
        <v>46.0</v>
      </c>
      <c r="G75" s="10">
        <f t="shared" si="1"/>
        <v>3.260869565</v>
      </c>
      <c r="H75" s="6">
        <v>484.0</v>
      </c>
      <c r="I75" s="6">
        <v>0.0</v>
      </c>
      <c r="J75" s="6">
        <v>3.0</v>
      </c>
      <c r="K75" s="6">
        <v>10.0</v>
      </c>
      <c r="L75" s="6">
        <v>33.0</v>
      </c>
    </row>
    <row r="76">
      <c r="A76" s="6" t="s">
        <v>136</v>
      </c>
      <c r="B76" s="6" t="s">
        <v>45</v>
      </c>
      <c r="C76" s="6">
        <v>150.0</v>
      </c>
      <c r="D76" s="6">
        <v>454.0</v>
      </c>
      <c r="E76" s="6">
        <v>5.2</v>
      </c>
      <c r="F76" s="6">
        <v>47.0</v>
      </c>
      <c r="G76" s="10">
        <f t="shared" si="1"/>
        <v>3.191489362</v>
      </c>
      <c r="H76" s="6">
        <v>454.0</v>
      </c>
      <c r="I76" s="6">
        <v>0.0</v>
      </c>
      <c r="J76" s="6">
        <v>0.0</v>
      </c>
      <c r="K76" s="6">
        <v>13.0</v>
      </c>
      <c r="L76" s="6">
        <v>34.0</v>
      </c>
    </row>
    <row r="77">
      <c r="A77" s="6" t="s">
        <v>128</v>
      </c>
      <c r="B77" s="6" t="s">
        <v>45</v>
      </c>
      <c r="C77" s="6">
        <v>200.0</v>
      </c>
      <c r="D77" s="6">
        <v>680.0</v>
      </c>
      <c r="E77" s="6">
        <v>8.9</v>
      </c>
      <c r="F77" s="6">
        <v>61.0</v>
      </c>
      <c r="G77" s="10">
        <f t="shared" si="1"/>
        <v>3.278688525</v>
      </c>
      <c r="H77" s="6">
        <v>680.0</v>
      </c>
      <c r="I77" s="6">
        <v>0.0</v>
      </c>
      <c r="J77" s="6">
        <v>1.0</v>
      </c>
      <c r="K77" s="6">
        <v>13.0</v>
      </c>
      <c r="L77" s="6">
        <v>47.0</v>
      </c>
    </row>
    <row r="78">
      <c r="A78" s="6" t="s">
        <v>68</v>
      </c>
      <c r="B78" s="6" t="s">
        <v>45</v>
      </c>
      <c r="C78" s="6">
        <v>200.0</v>
      </c>
      <c r="D78" s="6">
        <v>678.0</v>
      </c>
      <c r="E78" s="6">
        <v>8.8</v>
      </c>
      <c r="F78" s="6">
        <v>61.0</v>
      </c>
      <c r="G78" s="10">
        <f t="shared" si="1"/>
        <v>3.278688525</v>
      </c>
      <c r="H78" s="6">
        <v>678.0</v>
      </c>
      <c r="I78" s="6">
        <v>0.0</v>
      </c>
      <c r="J78" s="6">
        <v>1.0</v>
      </c>
      <c r="K78" s="6">
        <v>17.0</v>
      </c>
      <c r="L78" s="6">
        <v>43.0</v>
      </c>
    </row>
    <row r="79">
      <c r="A79" s="6" t="s">
        <v>112</v>
      </c>
      <c r="B79" s="6" t="s">
        <v>45</v>
      </c>
      <c r="C79" s="6">
        <v>200.0</v>
      </c>
      <c r="D79" s="6">
        <v>683.0</v>
      </c>
      <c r="E79" s="6">
        <v>8.7</v>
      </c>
      <c r="F79" s="6">
        <v>59.0</v>
      </c>
      <c r="G79" s="10">
        <f t="shared" si="1"/>
        <v>3.389830508</v>
      </c>
      <c r="H79" s="6">
        <v>683.0</v>
      </c>
      <c r="I79" s="6">
        <v>0.0</v>
      </c>
      <c r="J79" s="6">
        <v>1.0</v>
      </c>
      <c r="K79" s="6">
        <v>16.0</v>
      </c>
      <c r="L79" s="6">
        <v>42.0</v>
      </c>
    </row>
    <row r="80">
      <c r="A80" s="6" t="s">
        <v>145</v>
      </c>
      <c r="B80" s="6" t="s">
        <v>45</v>
      </c>
      <c r="C80" s="6">
        <v>200.0</v>
      </c>
      <c r="D80" s="6">
        <v>685.0</v>
      </c>
      <c r="E80" s="6">
        <v>9.0</v>
      </c>
      <c r="F80" s="6">
        <v>60.0</v>
      </c>
      <c r="G80" s="10">
        <f t="shared" si="1"/>
        <v>3.333333333</v>
      </c>
      <c r="H80" s="6">
        <v>685.0</v>
      </c>
      <c r="I80" s="6">
        <v>0.0</v>
      </c>
      <c r="J80" s="6">
        <v>0.0</v>
      </c>
      <c r="K80" s="6">
        <v>18.0</v>
      </c>
      <c r="L80" s="6">
        <v>42.0</v>
      </c>
    </row>
    <row r="81">
      <c r="A81" s="6" t="s">
        <v>56</v>
      </c>
      <c r="B81" s="6" t="s">
        <v>45</v>
      </c>
      <c r="C81" s="6">
        <v>200.0</v>
      </c>
      <c r="D81" s="6">
        <v>684.0</v>
      </c>
      <c r="E81" s="6">
        <v>8.8</v>
      </c>
      <c r="F81" s="6">
        <v>61.0</v>
      </c>
      <c r="G81" s="10">
        <f t="shared" si="1"/>
        <v>3.278688525</v>
      </c>
      <c r="H81" s="6">
        <v>684.0</v>
      </c>
      <c r="I81" s="6">
        <v>0.0</v>
      </c>
      <c r="J81" s="6">
        <v>1.0</v>
      </c>
      <c r="K81" s="6">
        <v>16.0</v>
      </c>
      <c r="L81" s="6">
        <v>44.0</v>
      </c>
    </row>
    <row r="82">
      <c r="A82" s="6" t="s">
        <v>77</v>
      </c>
      <c r="B82" s="6" t="s">
        <v>45</v>
      </c>
      <c r="C82" s="6">
        <v>250.0</v>
      </c>
      <c r="D82" s="6">
        <v>855.0</v>
      </c>
      <c r="E82" s="6">
        <v>14.2</v>
      </c>
      <c r="F82" s="6">
        <v>76.0</v>
      </c>
      <c r="G82" s="10">
        <f t="shared" si="1"/>
        <v>3.289473684</v>
      </c>
      <c r="H82" s="6">
        <v>855.0</v>
      </c>
      <c r="I82" s="6">
        <v>0.0</v>
      </c>
      <c r="J82" s="6">
        <v>1.0</v>
      </c>
      <c r="K82" s="6">
        <v>20.0</v>
      </c>
      <c r="L82" s="6">
        <v>55.0</v>
      </c>
    </row>
    <row r="83">
      <c r="A83" s="6" t="s">
        <v>67</v>
      </c>
      <c r="B83" s="6" t="s">
        <v>45</v>
      </c>
      <c r="C83" s="6">
        <v>250.0</v>
      </c>
      <c r="D83" s="6">
        <v>848.0</v>
      </c>
      <c r="E83" s="6">
        <v>13.2</v>
      </c>
      <c r="F83" s="6">
        <v>74.0</v>
      </c>
      <c r="G83" s="10">
        <f t="shared" si="1"/>
        <v>3.378378378</v>
      </c>
      <c r="H83" s="6">
        <v>848.0</v>
      </c>
      <c r="I83" s="6">
        <v>0.0</v>
      </c>
      <c r="J83" s="6">
        <v>2.0</v>
      </c>
      <c r="K83" s="6">
        <v>12.0</v>
      </c>
      <c r="L83" s="6">
        <v>60.0</v>
      </c>
    </row>
    <row r="84">
      <c r="A84" s="6" t="s">
        <v>70</v>
      </c>
      <c r="B84" s="6" t="s">
        <v>45</v>
      </c>
      <c r="C84" s="6">
        <v>250.0</v>
      </c>
      <c r="D84" s="6">
        <v>855.0</v>
      </c>
      <c r="E84" s="6">
        <v>14.3</v>
      </c>
      <c r="F84" s="6">
        <v>74.0</v>
      </c>
      <c r="G84" s="10">
        <f t="shared" si="1"/>
        <v>3.378378378</v>
      </c>
      <c r="H84" s="6">
        <v>855.0</v>
      </c>
      <c r="I84" s="6">
        <v>0.0</v>
      </c>
      <c r="J84" s="6">
        <v>1.0</v>
      </c>
      <c r="K84" s="6">
        <v>18.0</v>
      </c>
      <c r="L84" s="6">
        <v>55.0</v>
      </c>
    </row>
    <row r="85">
      <c r="A85" s="6" t="s">
        <v>104</v>
      </c>
      <c r="B85" s="6" t="s">
        <v>45</v>
      </c>
      <c r="C85" s="6">
        <v>250.0</v>
      </c>
      <c r="D85" s="6">
        <v>849.0</v>
      </c>
      <c r="E85" s="6">
        <v>13.9</v>
      </c>
      <c r="F85" s="6">
        <v>74.0</v>
      </c>
      <c r="G85" s="10">
        <f t="shared" si="1"/>
        <v>3.378378378</v>
      </c>
      <c r="H85" s="6">
        <v>849.0</v>
      </c>
      <c r="I85" s="6">
        <v>0.0</v>
      </c>
      <c r="J85" s="6">
        <v>0.0</v>
      </c>
      <c r="K85" s="6">
        <v>17.0</v>
      </c>
      <c r="L85" s="6">
        <v>57.0</v>
      </c>
    </row>
    <row r="86">
      <c r="A86" s="6" t="s">
        <v>84</v>
      </c>
      <c r="B86" s="6" t="s">
        <v>45</v>
      </c>
      <c r="C86" s="6">
        <v>250.0</v>
      </c>
      <c r="D86" s="6">
        <v>857.0</v>
      </c>
      <c r="E86" s="6">
        <v>15.4</v>
      </c>
      <c r="F86" s="6">
        <v>74.0</v>
      </c>
      <c r="G86" s="10">
        <f t="shared" si="1"/>
        <v>3.378378378</v>
      </c>
      <c r="H86" s="6">
        <v>857.0</v>
      </c>
      <c r="I86" s="6">
        <v>0.0</v>
      </c>
      <c r="J86" s="6">
        <v>1.0</v>
      </c>
      <c r="K86" s="6">
        <v>16.0</v>
      </c>
      <c r="L86" s="6">
        <v>57.0</v>
      </c>
    </row>
    <row r="87">
      <c r="A87" s="6" t="s">
        <v>107</v>
      </c>
      <c r="B87" s="6" t="s">
        <v>45</v>
      </c>
      <c r="C87" s="6">
        <v>300.0</v>
      </c>
      <c r="D87" s="6">
        <v>980.0</v>
      </c>
      <c r="E87" s="6">
        <v>19.9</v>
      </c>
      <c r="F87" s="6">
        <v>89.0</v>
      </c>
      <c r="G87" s="10">
        <f t="shared" si="1"/>
        <v>3.370786517</v>
      </c>
      <c r="H87" s="6">
        <v>980.0</v>
      </c>
      <c r="I87" s="6">
        <v>0.0</v>
      </c>
      <c r="J87" s="6">
        <v>1.0</v>
      </c>
      <c r="K87" s="6">
        <v>15.0</v>
      </c>
      <c r="L87" s="6">
        <v>73.0</v>
      </c>
    </row>
    <row r="88">
      <c r="A88" s="6" t="s">
        <v>80</v>
      </c>
      <c r="B88" s="6" t="s">
        <v>45</v>
      </c>
      <c r="C88" s="6">
        <v>300.0</v>
      </c>
      <c r="D88" s="6">
        <v>962.0</v>
      </c>
      <c r="E88" s="6">
        <v>20.8</v>
      </c>
      <c r="F88" s="6">
        <v>91.0</v>
      </c>
      <c r="G88" s="10">
        <f t="shared" si="1"/>
        <v>3.296703297</v>
      </c>
      <c r="H88" s="6">
        <v>962.0</v>
      </c>
      <c r="I88" s="6">
        <v>0.0</v>
      </c>
      <c r="J88" s="6">
        <v>2.0</v>
      </c>
      <c r="K88" s="6">
        <v>15.0</v>
      </c>
      <c r="L88" s="6">
        <v>74.0</v>
      </c>
    </row>
    <row r="89">
      <c r="A89" s="6" t="s">
        <v>151</v>
      </c>
      <c r="B89" s="6" t="s">
        <v>45</v>
      </c>
      <c r="C89" s="6">
        <v>300.0</v>
      </c>
      <c r="D89" s="6">
        <v>946.0</v>
      </c>
      <c r="E89" s="6">
        <v>20.4</v>
      </c>
      <c r="F89" s="6">
        <v>94.0</v>
      </c>
      <c r="G89" s="10">
        <f t="shared" si="1"/>
        <v>3.191489362</v>
      </c>
      <c r="H89" s="6">
        <v>946.0</v>
      </c>
      <c r="I89" s="6">
        <v>0.0</v>
      </c>
      <c r="J89" s="6">
        <v>1.0</v>
      </c>
      <c r="K89" s="6">
        <v>23.0</v>
      </c>
      <c r="L89" s="6">
        <v>70.0</v>
      </c>
    </row>
    <row r="90">
      <c r="A90" s="6" t="s">
        <v>118</v>
      </c>
      <c r="B90" s="6" t="s">
        <v>45</v>
      </c>
      <c r="C90" s="6">
        <v>300.0</v>
      </c>
      <c r="D90" s="6">
        <v>1000.0</v>
      </c>
      <c r="E90" s="6">
        <v>20.2</v>
      </c>
      <c r="F90" s="6">
        <v>90.0</v>
      </c>
      <c r="G90" s="10">
        <f t="shared" si="1"/>
        <v>3.333333333</v>
      </c>
      <c r="H90" s="6">
        <v>1000.0</v>
      </c>
      <c r="I90" s="6">
        <v>0.0</v>
      </c>
      <c r="J90" s="6">
        <v>2.0</v>
      </c>
      <c r="K90" s="6">
        <v>17.0</v>
      </c>
      <c r="L90" s="6">
        <v>71.0</v>
      </c>
    </row>
    <row r="91">
      <c r="A91" s="6" t="s">
        <v>152</v>
      </c>
      <c r="B91" s="6" t="s">
        <v>45</v>
      </c>
      <c r="C91" s="6">
        <v>300.0</v>
      </c>
      <c r="D91" s="6">
        <v>956.0</v>
      </c>
      <c r="E91" s="6">
        <v>20.1</v>
      </c>
      <c r="F91" s="6">
        <v>91.0</v>
      </c>
      <c r="G91" s="10">
        <f t="shared" si="1"/>
        <v>3.296703297</v>
      </c>
      <c r="H91" s="6">
        <v>956.0</v>
      </c>
      <c r="I91" s="6">
        <v>0.0</v>
      </c>
      <c r="J91" s="6">
        <v>2.0</v>
      </c>
      <c r="K91" s="6">
        <v>14.0</v>
      </c>
      <c r="L91" s="6">
        <v>75.0</v>
      </c>
    </row>
    <row r="92">
      <c r="A92" s="6" t="s">
        <v>99</v>
      </c>
      <c r="B92" s="6" t="s">
        <v>45</v>
      </c>
      <c r="C92" s="6">
        <v>400.0</v>
      </c>
      <c r="D92" s="6">
        <v>1237.0</v>
      </c>
      <c r="E92" s="6">
        <v>37.7</v>
      </c>
      <c r="F92" s="6">
        <v>120.0</v>
      </c>
      <c r="G92" s="10">
        <f t="shared" si="1"/>
        <v>3.333333333</v>
      </c>
      <c r="H92" s="6">
        <v>1237.0</v>
      </c>
      <c r="I92" s="6">
        <v>0.0</v>
      </c>
      <c r="J92" s="6">
        <v>2.0</v>
      </c>
      <c r="K92" s="6">
        <v>16.0</v>
      </c>
      <c r="L92" s="6">
        <v>102.0</v>
      </c>
    </row>
    <row r="93">
      <c r="A93" s="6" t="s">
        <v>149</v>
      </c>
      <c r="B93" s="6" t="s">
        <v>45</v>
      </c>
      <c r="C93" s="6">
        <v>400.0</v>
      </c>
      <c r="D93" s="6">
        <v>1214.0</v>
      </c>
      <c r="E93" s="6">
        <v>37.4</v>
      </c>
      <c r="F93" s="6">
        <v>121.0</v>
      </c>
      <c r="G93" s="10">
        <f t="shared" si="1"/>
        <v>3.305785124</v>
      </c>
      <c r="H93" s="6">
        <v>1214.0</v>
      </c>
      <c r="I93" s="6">
        <v>0.0</v>
      </c>
      <c r="J93" s="6">
        <v>0.0</v>
      </c>
      <c r="K93" s="6">
        <v>20.0</v>
      </c>
      <c r="L93" s="6">
        <v>101.0</v>
      </c>
    </row>
    <row r="94">
      <c r="A94" s="6" t="s">
        <v>139</v>
      </c>
      <c r="B94" s="6" t="s">
        <v>45</v>
      </c>
      <c r="C94" s="6">
        <v>400.0</v>
      </c>
      <c r="D94" s="6">
        <v>1223.0</v>
      </c>
      <c r="E94" s="6">
        <v>38.2</v>
      </c>
      <c r="F94" s="6">
        <v>122.0</v>
      </c>
      <c r="G94" s="10">
        <f t="shared" si="1"/>
        <v>3.278688525</v>
      </c>
      <c r="H94" s="6">
        <v>1223.0</v>
      </c>
      <c r="I94" s="6">
        <v>0.0</v>
      </c>
      <c r="J94" s="6">
        <v>0.0</v>
      </c>
      <c r="K94" s="6">
        <v>17.0</v>
      </c>
      <c r="L94" s="6">
        <v>105.0</v>
      </c>
    </row>
    <row r="95">
      <c r="A95" s="6" t="s">
        <v>113</v>
      </c>
      <c r="B95" s="6" t="s">
        <v>45</v>
      </c>
      <c r="C95" s="6">
        <v>400.0</v>
      </c>
      <c r="D95" s="6">
        <v>1241.0</v>
      </c>
      <c r="E95" s="6">
        <v>38.2</v>
      </c>
      <c r="F95" s="6">
        <v>117.0</v>
      </c>
      <c r="G95" s="10">
        <f t="shared" si="1"/>
        <v>3.418803419</v>
      </c>
      <c r="H95" s="6">
        <v>1241.0</v>
      </c>
      <c r="I95" s="6">
        <v>0.0</v>
      </c>
      <c r="J95" s="6">
        <v>1.0</v>
      </c>
      <c r="K95" s="6">
        <v>12.0</v>
      </c>
      <c r="L95" s="6">
        <v>104.0</v>
      </c>
    </row>
    <row r="96">
      <c r="A96" s="6" t="s">
        <v>138</v>
      </c>
      <c r="B96" s="6" t="s">
        <v>45</v>
      </c>
      <c r="C96" s="6">
        <v>400.0</v>
      </c>
      <c r="D96" s="6">
        <v>1255.0</v>
      </c>
      <c r="E96" s="6">
        <v>37.7</v>
      </c>
      <c r="F96" s="6">
        <v>119.0</v>
      </c>
      <c r="G96" s="10">
        <f t="shared" si="1"/>
        <v>3.361344538</v>
      </c>
      <c r="H96" s="6">
        <v>1255.0</v>
      </c>
      <c r="I96" s="6">
        <v>0.0</v>
      </c>
      <c r="J96" s="6">
        <v>1.0</v>
      </c>
      <c r="K96" s="6">
        <v>20.0</v>
      </c>
      <c r="L96" s="6">
        <v>98.0</v>
      </c>
    </row>
    <row r="97">
      <c r="A97" s="6" t="s">
        <v>82</v>
      </c>
      <c r="B97" s="6" t="s">
        <v>45</v>
      </c>
      <c r="C97" s="6">
        <v>500.0</v>
      </c>
      <c r="D97" s="6">
        <v>1478.0</v>
      </c>
      <c r="E97" s="6">
        <v>62.2</v>
      </c>
      <c r="F97" s="6">
        <v>151.0</v>
      </c>
      <c r="G97" s="10">
        <f t="shared" si="1"/>
        <v>3.311258278</v>
      </c>
      <c r="H97" s="6">
        <v>1478.0</v>
      </c>
      <c r="I97" s="6">
        <v>0.0</v>
      </c>
      <c r="J97" s="6">
        <v>2.0</v>
      </c>
      <c r="K97" s="6">
        <v>11.0</v>
      </c>
      <c r="L97" s="6">
        <v>138.0</v>
      </c>
    </row>
    <row r="98">
      <c r="A98" s="6" t="s">
        <v>142</v>
      </c>
      <c r="B98" s="6" t="s">
        <v>45</v>
      </c>
      <c r="C98" s="6">
        <v>500.0</v>
      </c>
      <c r="D98" s="6">
        <v>1475.0</v>
      </c>
      <c r="E98" s="6">
        <v>60.5</v>
      </c>
      <c r="F98" s="6">
        <v>150.0</v>
      </c>
      <c r="G98" s="10">
        <f t="shared" si="1"/>
        <v>3.333333333</v>
      </c>
      <c r="H98" s="6">
        <v>1475.0</v>
      </c>
      <c r="I98" s="6">
        <v>0.0</v>
      </c>
      <c r="J98" s="6">
        <v>0.0</v>
      </c>
      <c r="K98" s="6">
        <v>23.0</v>
      </c>
      <c r="L98" s="6">
        <v>127.0</v>
      </c>
    </row>
    <row r="99">
      <c r="A99" s="6" t="s">
        <v>57</v>
      </c>
      <c r="B99" s="6" t="s">
        <v>45</v>
      </c>
      <c r="C99" s="6">
        <v>500.0</v>
      </c>
      <c r="D99" s="6">
        <v>1494.0</v>
      </c>
      <c r="E99" s="6">
        <v>62.9</v>
      </c>
      <c r="F99" s="6">
        <v>153.0</v>
      </c>
      <c r="G99" s="10">
        <f t="shared" si="1"/>
        <v>3.267973856</v>
      </c>
      <c r="H99" s="6">
        <v>1494.0</v>
      </c>
      <c r="I99" s="6">
        <v>0.0</v>
      </c>
      <c r="J99" s="6">
        <v>0.0</v>
      </c>
      <c r="K99" s="6">
        <v>17.0</v>
      </c>
      <c r="L99" s="6">
        <v>136.0</v>
      </c>
    </row>
    <row r="100">
      <c r="A100" s="6" t="s">
        <v>48</v>
      </c>
      <c r="B100" s="6" t="s">
        <v>45</v>
      </c>
      <c r="C100" s="6">
        <v>500.0</v>
      </c>
      <c r="D100" s="6">
        <v>1472.0</v>
      </c>
      <c r="E100" s="6">
        <v>61.3</v>
      </c>
      <c r="F100" s="6">
        <v>150.0</v>
      </c>
      <c r="G100" s="10">
        <f t="shared" si="1"/>
        <v>3.333333333</v>
      </c>
      <c r="H100" s="6">
        <v>1472.0</v>
      </c>
      <c r="I100" s="6">
        <v>0.0</v>
      </c>
      <c r="J100" s="6">
        <v>0.0</v>
      </c>
      <c r="K100" s="6">
        <v>16.0</v>
      </c>
      <c r="L100" s="6">
        <v>134.0</v>
      </c>
    </row>
    <row r="101">
      <c r="A101" s="6" t="s">
        <v>78</v>
      </c>
      <c r="B101" s="6" t="s">
        <v>45</v>
      </c>
      <c r="C101" s="6">
        <v>500.0</v>
      </c>
      <c r="D101" s="6">
        <v>1490.0</v>
      </c>
      <c r="E101" s="6">
        <v>62.3</v>
      </c>
      <c r="F101" s="6">
        <v>155.0</v>
      </c>
      <c r="G101" s="10">
        <f t="shared" si="1"/>
        <v>3.225806452</v>
      </c>
      <c r="H101" s="6">
        <v>1490.0</v>
      </c>
      <c r="I101" s="6">
        <v>0.0</v>
      </c>
      <c r="J101" s="6">
        <v>0.0</v>
      </c>
      <c r="K101" s="6">
        <v>19.0</v>
      </c>
      <c r="L101" s="6">
        <v>136.0</v>
      </c>
    </row>
    <row r="102">
      <c r="A102" s="6" t="s">
        <v>90</v>
      </c>
      <c r="B102" s="6" t="s">
        <v>45</v>
      </c>
      <c r="C102" s="6">
        <v>750.0</v>
      </c>
      <c r="D102" s="6">
        <v>2122.0</v>
      </c>
      <c r="E102" s="6">
        <v>147.9</v>
      </c>
      <c r="F102" s="6">
        <v>226.0</v>
      </c>
      <c r="G102" s="10">
        <f t="shared" si="1"/>
        <v>3.318584071</v>
      </c>
      <c r="H102" s="6">
        <v>2122.0</v>
      </c>
      <c r="I102" s="6">
        <v>0.0</v>
      </c>
      <c r="J102" s="6">
        <v>0.0</v>
      </c>
      <c r="K102" s="6">
        <v>12.0</v>
      </c>
      <c r="L102" s="6">
        <v>214.0</v>
      </c>
    </row>
    <row r="103">
      <c r="A103" s="6" t="s">
        <v>127</v>
      </c>
      <c r="B103" s="6" t="s">
        <v>45</v>
      </c>
      <c r="C103" s="6">
        <v>750.0</v>
      </c>
      <c r="D103" s="6">
        <v>2119.0</v>
      </c>
      <c r="E103" s="6">
        <v>147.2</v>
      </c>
      <c r="F103" s="6">
        <v>229.0</v>
      </c>
      <c r="G103" s="10">
        <f t="shared" si="1"/>
        <v>3.27510917</v>
      </c>
      <c r="H103" s="6">
        <v>2119.0</v>
      </c>
      <c r="I103" s="6">
        <v>0.0</v>
      </c>
      <c r="J103" s="6">
        <v>2.0</v>
      </c>
      <c r="K103" s="6">
        <v>22.0</v>
      </c>
      <c r="L103" s="6">
        <v>205.0</v>
      </c>
    </row>
    <row r="104">
      <c r="A104" s="6" t="s">
        <v>81</v>
      </c>
      <c r="B104" s="6" t="s">
        <v>45</v>
      </c>
      <c r="C104" s="6">
        <v>750.0</v>
      </c>
      <c r="D104" s="6">
        <v>2152.0</v>
      </c>
      <c r="E104" s="6">
        <v>145.8</v>
      </c>
      <c r="F104" s="6">
        <v>223.0</v>
      </c>
      <c r="G104" s="10">
        <f t="shared" si="1"/>
        <v>3.3632287</v>
      </c>
      <c r="H104" s="6">
        <v>2152.0</v>
      </c>
      <c r="I104" s="6">
        <v>0.0</v>
      </c>
      <c r="J104" s="6">
        <v>0.0</v>
      </c>
      <c r="K104" s="6">
        <v>15.0</v>
      </c>
      <c r="L104" s="6">
        <v>208.0</v>
      </c>
    </row>
    <row r="105">
      <c r="A105" s="6" t="s">
        <v>154</v>
      </c>
      <c r="B105" s="6" t="s">
        <v>45</v>
      </c>
      <c r="C105" s="6">
        <v>750.0</v>
      </c>
      <c r="D105" s="6">
        <v>2140.0</v>
      </c>
      <c r="E105" s="6">
        <v>145.9</v>
      </c>
      <c r="F105" s="6">
        <v>223.0</v>
      </c>
      <c r="G105" s="10">
        <f t="shared" si="1"/>
        <v>3.3632287</v>
      </c>
      <c r="H105" s="6">
        <v>2140.0</v>
      </c>
      <c r="I105" s="6">
        <v>0.0</v>
      </c>
      <c r="J105" s="6">
        <v>0.0</v>
      </c>
      <c r="K105" s="6">
        <v>16.0</v>
      </c>
      <c r="L105" s="6">
        <v>207.0</v>
      </c>
    </row>
    <row r="106">
      <c r="A106" s="6" t="s">
        <v>129</v>
      </c>
      <c r="B106" s="6" t="s">
        <v>45</v>
      </c>
      <c r="C106" s="6">
        <v>750.0</v>
      </c>
      <c r="D106" s="6">
        <v>2131.0</v>
      </c>
      <c r="E106" s="6">
        <v>146.9</v>
      </c>
      <c r="F106" s="6">
        <v>225.0</v>
      </c>
      <c r="G106" s="10">
        <f t="shared" si="1"/>
        <v>3.333333333</v>
      </c>
      <c r="H106" s="6">
        <v>2131.0</v>
      </c>
      <c r="I106" s="6">
        <v>0.0</v>
      </c>
      <c r="J106" s="6">
        <v>0.0</v>
      </c>
      <c r="K106" s="6">
        <v>11.0</v>
      </c>
      <c r="L106" s="6">
        <v>214.0</v>
      </c>
    </row>
    <row r="107">
      <c r="A107" s="6" t="s">
        <v>83</v>
      </c>
      <c r="B107" s="6" t="s">
        <v>45</v>
      </c>
      <c r="C107" s="6">
        <v>1000.0</v>
      </c>
      <c r="D107" s="6">
        <v>2594.0</v>
      </c>
      <c r="E107" s="6">
        <v>271.3</v>
      </c>
      <c r="F107" s="6">
        <v>304.0</v>
      </c>
      <c r="G107" s="10">
        <f t="shared" si="1"/>
        <v>3.289473684</v>
      </c>
      <c r="H107" s="6">
        <v>2594.0</v>
      </c>
      <c r="I107" s="6">
        <v>0.0</v>
      </c>
      <c r="J107" s="6">
        <v>0.0</v>
      </c>
      <c r="K107" s="6">
        <v>25.0</v>
      </c>
      <c r="L107" s="6">
        <v>279.0</v>
      </c>
    </row>
    <row r="108">
      <c r="A108" s="6" t="s">
        <v>144</v>
      </c>
      <c r="B108" s="6" t="s">
        <v>45</v>
      </c>
      <c r="C108" s="6">
        <v>1000.0</v>
      </c>
      <c r="D108" s="6">
        <v>2729.0</v>
      </c>
      <c r="E108" s="6">
        <v>275.7</v>
      </c>
      <c r="F108" s="6">
        <v>302.0</v>
      </c>
      <c r="G108" s="10">
        <f t="shared" si="1"/>
        <v>3.311258278</v>
      </c>
      <c r="H108" s="6">
        <v>2729.0</v>
      </c>
      <c r="I108" s="6">
        <v>0.0</v>
      </c>
      <c r="J108" s="6">
        <v>1.0</v>
      </c>
      <c r="K108" s="6">
        <v>13.0</v>
      </c>
      <c r="L108" s="6">
        <v>288.0</v>
      </c>
    </row>
    <row r="109">
      <c r="A109" s="6" t="s">
        <v>63</v>
      </c>
      <c r="B109" s="6" t="s">
        <v>45</v>
      </c>
      <c r="C109" s="6">
        <v>1000.0</v>
      </c>
      <c r="D109" s="6">
        <v>2682.0</v>
      </c>
      <c r="E109" s="6">
        <v>280.6</v>
      </c>
      <c r="F109" s="6">
        <v>305.0</v>
      </c>
      <c r="G109" s="10">
        <f t="shared" si="1"/>
        <v>3.278688525</v>
      </c>
      <c r="H109" s="6">
        <v>2682.0</v>
      </c>
      <c r="I109" s="6">
        <v>0.0</v>
      </c>
      <c r="J109" s="6">
        <v>2.0</v>
      </c>
      <c r="K109" s="6">
        <v>25.0</v>
      </c>
      <c r="L109" s="6">
        <v>278.0</v>
      </c>
    </row>
    <row r="110">
      <c r="A110" s="6" t="s">
        <v>79</v>
      </c>
      <c r="B110" s="6" t="s">
        <v>45</v>
      </c>
      <c r="C110" s="6">
        <v>1000.0</v>
      </c>
      <c r="D110" s="6">
        <v>2707.0</v>
      </c>
      <c r="E110" s="6">
        <v>279.6</v>
      </c>
      <c r="F110" s="6">
        <v>305.0</v>
      </c>
      <c r="G110" s="10">
        <f t="shared" si="1"/>
        <v>3.278688525</v>
      </c>
      <c r="H110" s="6">
        <v>2707.0</v>
      </c>
      <c r="I110" s="6">
        <v>0.0</v>
      </c>
      <c r="J110" s="6">
        <v>0.0</v>
      </c>
      <c r="K110" s="6">
        <v>19.0</v>
      </c>
      <c r="L110" s="6">
        <v>286.0</v>
      </c>
    </row>
    <row r="111">
      <c r="A111" s="6" t="s">
        <v>64</v>
      </c>
      <c r="B111" s="6" t="s">
        <v>45</v>
      </c>
      <c r="C111" s="6">
        <v>1000.0</v>
      </c>
      <c r="D111" s="6">
        <v>2686.0</v>
      </c>
      <c r="E111" s="6">
        <v>276.8</v>
      </c>
      <c r="F111" s="6">
        <v>300.0</v>
      </c>
      <c r="G111" s="10">
        <f t="shared" si="1"/>
        <v>3.333333333</v>
      </c>
      <c r="H111" s="6">
        <v>2686.0</v>
      </c>
      <c r="I111" s="6">
        <v>0.0</v>
      </c>
      <c r="J111" s="6">
        <v>0.0</v>
      </c>
      <c r="K111" s="6">
        <v>17.0</v>
      </c>
      <c r="L111" s="6">
        <v>283.0</v>
      </c>
    </row>
  </sheetData>
  <autoFilter ref="$A$1:$L$11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63"/>
    <col customWidth="1" min="3" max="3" width="18.25"/>
    <col customWidth="1" min="4" max="4" width="12.63"/>
    <col customWidth="1" min="6" max="6" width="19.75"/>
    <col customWidth="1" min="7" max="7" width="15.63"/>
    <col customWidth="1" min="8" max="8" width="16.88"/>
    <col customWidth="1" min="9" max="9" width="20.25"/>
  </cols>
  <sheetData>
    <row r="1">
      <c r="A1" s="6" t="s">
        <v>38</v>
      </c>
      <c r="B1" s="6" t="s">
        <v>39</v>
      </c>
      <c r="C1" s="6" t="s">
        <v>40</v>
      </c>
      <c r="D1" s="6" t="s">
        <v>155</v>
      </c>
      <c r="E1" s="6" t="s">
        <v>156</v>
      </c>
      <c r="F1" s="6" t="s">
        <v>157</v>
      </c>
      <c r="G1" s="6" t="s">
        <v>158</v>
      </c>
      <c r="H1" s="6" t="s">
        <v>159</v>
      </c>
      <c r="I1" s="6" t="s">
        <v>160</v>
      </c>
      <c r="J1" s="6" t="s">
        <v>161</v>
      </c>
      <c r="K1" s="6" t="s">
        <v>162</v>
      </c>
      <c r="L1" s="6" t="s">
        <v>163</v>
      </c>
    </row>
    <row r="2">
      <c r="A2" s="6" t="s">
        <v>93</v>
      </c>
      <c r="B2" s="6" t="s">
        <v>53</v>
      </c>
      <c r="C2" s="6">
        <v>10.0</v>
      </c>
      <c r="D2" s="6">
        <v>185.0</v>
      </c>
      <c r="E2" s="6">
        <v>0.0</v>
      </c>
      <c r="F2" s="6">
        <v>3.0</v>
      </c>
      <c r="G2" s="6">
        <v>3.33</v>
      </c>
      <c r="H2" s="6">
        <v>70.0</v>
      </c>
      <c r="I2" s="6">
        <v>0.0</v>
      </c>
      <c r="J2" s="6">
        <v>1.0</v>
      </c>
      <c r="K2" s="6">
        <v>1.0</v>
      </c>
      <c r="L2" s="6">
        <v>1.0</v>
      </c>
    </row>
    <row r="3">
      <c r="A3" s="6" t="s">
        <v>36</v>
      </c>
      <c r="B3" s="6" t="s">
        <v>53</v>
      </c>
      <c r="C3" s="6">
        <v>10.0</v>
      </c>
      <c r="D3" s="6">
        <v>159.0</v>
      </c>
      <c r="E3" s="6">
        <v>0.0</v>
      </c>
      <c r="F3" s="6">
        <v>3.0</v>
      </c>
      <c r="G3" s="6">
        <v>3.33</v>
      </c>
      <c r="H3" s="6">
        <v>119.0</v>
      </c>
      <c r="I3" s="6">
        <v>0.0</v>
      </c>
      <c r="J3" s="6">
        <v>2.0</v>
      </c>
      <c r="K3" s="6">
        <v>1.0</v>
      </c>
      <c r="L3" s="6">
        <v>0.0</v>
      </c>
    </row>
    <row r="4">
      <c r="A4" s="6" t="s">
        <v>55</v>
      </c>
      <c r="B4" s="6" t="s">
        <v>53</v>
      </c>
      <c r="C4" s="6">
        <v>15.0</v>
      </c>
      <c r="D4" s="6">
        <v>378.0</v>
      </c>
      <c r="E4" s="6">
        <v>0.1</v>
      </c>
      <c r="F4" s="6">
        <v>5.0</v>
      </c>
      <c r="G4" s="6">
        <v>3.0</v>
      </c>
      <c r="H4" s="6">
        <v>158.0</v>
      </c>
      <c r="I4" s="6">
        <v>0.0</v>
      </c>
      <c r="J4" s="6">
        <v>3.0</v>
      </c>
      <c r="K4" s="6">
        <v>2.0</v>
      </c>
      <c r="L4" s="6">
        <v>0.0</v>
      </c>
    </row>
    <row r="5">
      <c r="A5" s="6" t="s">
        <v>141</v>
      </c>
      <c r="B5" s="6" t="s">
        <v>53</v>
      </c>
      <c r="C5" s="6">
        <v>15.0</v>
      </c>
      <c r="D5" s="6">
        <v>247.0</v>
      </c>
      <c r="E5" s="6">
        <v>0.1</v>
      </c>
      <c r="F5" s="6">
        <v>4.0</v>
      </c>
      <c r="G5" s="6">
        <v>3.75</v>
      </c>
      <c r="H5" s="6">
        <v>107.0</v>
      </c>
      <c r="I5" s="6">
        <v>0.0</v>
      </c>
      <c r="J5" s="6">
        <v>2.0</v>
      </c>
      <c r="K5" s="6">
        <v>1.0</v>
      </c>
      <c r="L5" s="6">
        <v>1.0</v>
      </c>
    </row>
    <row r="6">
      <c r="A6" s="6" t="s">
        <v>109</v>
      </c>
      <c r="B6" s="6" t="s">
        <v>53</v>
      </c>
      <c r="C6" s="6">
        <v>20.0</v>
      </c>
      <c r="D6" s="6">
        <v>419.0</v>
      </c>
      <c r="E6" s="6">
        <v>0.1</v>
      </c>
      <c r="F6" s="6">
        <v>6.0</v>
      </c>
      <c r="G6" s="6">
        <v>3.33</v>
      </c>
      <c r="H6" s="6">
        <v>179.0</v>
      </c>
      <c r="I6" s="6">
        <v>0.0</v>
      </c>
      <c r="J6" s="6">
        <v>2.0</v>
      </c>
      <c r="K6" s="6">
        <v>2.0</v>
      </c>
      <c r="L6" s="6">
        <v>2.0</v>
      </c>
    </row>
    <row r="7">
      <c r="A7" s="6" t="s">
        <v>85</v>
      </c>
      <c r="B7" s="6" t="s">
        <v>53</v>
      </c>
      <c r="C7" s="6">
        <v>20.0</v>
      </c>
      <c r="D7" s="6">
        <v>363.0</v>
      </c>
      <c r="E7" s="6">
        <v>0.1</v>
      </c>
      <c r="F7" s="6">
        <v>7.0</v>
      </c>
      <c r="G7" s="6">
        <v>2.86</v>
      </c>
      <c r="H7" s="6">
        <v>168.0</v>
      </c>
      <c r="I7" s="6">
        <v>0.0</v>
      </c>
      <c r="J7" s="6">
        <v>4.0</v>
      </c>
      <c r="K7" s="6">
        <v>3.0</v>
      </c>
      <c r="L7" s="6">
        <v>0.0</v>
      </c>
    </row>
    <row r="8">
      <c r="A8" s="6" t="s">
        <v>105</v>
      </c>
      <c r="B8" s="6" t="s">
        <v>53</v>
      </c>
      <c r="C8" s="6">
        <v>25.0</v>
      </c>
      <c r="D8" s="6">
        <v>467.0</v>
      </c>
      <c r="E8" s="6">
        <v>0.2</v>
      </c>
      <c r="F8" s="6">
        <v>10.0</v>
      </c>
      <c r="G8" s="6">
        <v>2.5</v>
      </c>
      <c r="H8" s="6">
        <v>217.0</v>
      </c>
      <c r="I8" s="6">
        <v>0.0</v>
      </c>
      <c r="J8" s="6">
        <v>7.0</v>
      </c>
      <c r="K8" s="6">
        <v>2.0</v>
      </c>
      <c r="L8" s="6">
        <v>1.0</v>
      </c>
    </row>
    <row r="9">
      <c r="A9" s="6" t="s">
        <v>126</v>
      </c>
      <c r="B9" s="6" t="s">
        <v>53</v>
      </c>
      <c r="C9" s="6">
        <v>30.0</v>
      </c>
      <c r="D9" s="6">
        <v>513.0</v>
      </c>
      <c r="E9" s="6">
        <v>0.2</v>
      </c>
      <c r="F9" s="6">
        <v>10.0</v>
      </c>
      <c r="G9" s="6">
        <v>3.0</v>
      </c>
      <c r="H9" s="6">
        <v>283.0</v>
      </c>
      <c r="I9" s="6">
        <v>0.0</v>
      </c>
      <c r="J9" s="6">
        <v>6.0</v>
      </c>
      <c r="K9" s="6">
        <v>3.0</v>
      </c>
      <c r="L9" s="6">
        <v>1.0</v>
      </c>
    </row>
    <row r="10">
      <c r="A10" s="6" t="s">
        <v>65</v>
      </c>
      <c r="B10" s="6" t="s">
        <v>53</v>
      </c>
      <c r="C10" s="6">
        <v>30.0</v>
      </c>
      <c r="D10" s="6">
        <v>757.0</v>
      </c>
      <c r="E10" s="6">
        <v>0.2</v>
      </c>
      <c r="F10" s="6">
        <v>10.0</v>
      </c>
      <c r="G10" s="6">
        <v>3.0</v>
      </c>
      <c r="H10" s="6">
        <v>232.0</v>
      </c>
      <c r="I10" s="6">
        <v>0.0</v>
      </c>
      <c r="J10" s="6">
        <v>5.0</v>
      </c>
      <c r="K10" s="6">
        <v>3.0</v>
      </c>
      <c r="L10" s="6">
        <v>2.0</v>
      </c>
    </row>
    <row r="11">
      <c r="A11" s="6" t="s">
        <v>114</v>
      </c>
      <c r="B11" s="6" t="s">
        <v>53</v>
      </c>
      <c r="C11" s="6">
        <v>40.0</v>
      </c>
      <c r="D11" s="6">
        <v>881.0</v>
      </c>
      <c r="E11" s="6">
        <v>0.4</v>
      </c>
      <c r="F11" s="6">
        <v>13.0</v>
      </c>
      <c r="G11" s="6">
        <v>3.08</v>
      </c>
      <c r="H11" s="6">
        <v>256.0</v>
      </c>
      <c r="I11" s="6">
        <v>0.0</v>
      </c>
      <c r="J11" s="6">
        <v>6.0</v>
      </c>
      <c r="K11" s="6">
        <v>4.0</v>
      </c>
      <c r="L11" s="6">
        <v>3.0</v>
      </c>
    </row>
    <row r="12">
      <c r="A12" s="6" t="s">
        <v>69</v>
      </c>
      <c r="B12" s="6" t="s">
        <v>53</v>
      </c>
      <c r="C12" s="6">
        <v>50.0</v>
      </c>
      <c r="D12" s="6">
        <v>1105.0</v>
      </c>
      <c r="E12" s="6">
        <v>0.6</v>
      </c>
      <c r="F12" s="6">
        <v>16.0</v>
      </c>
      <c r="G12" s="6">
        <v>3.13</v>
      </c>
      <c r="H12" s="6">
        <v>445.0</v>
      </c>
      <c r="I12" s="6">
        <v>0.0</v>
      </c>
      <c r="J12" s="6">
        <v>9.0</v>
      </c>
      <c r="K12" s="6">
        <v>5.0</v>
      </c>
      <c r="L12" s="6">
        <v>2.0</v>
      </c>
    </row>
    <row r="13">
      <c r="A13" s="6" t="s">
        <v>150</v>
      </c>
      <c r="B13" s="6" t="s">
        <v>53</v>
      </c>
      <c r="C13" s="6">
        <v>50.0</v>
      </c>
      <c r="D13" s="6">
        <v>1302.0</v>
      </c>
      <c r="E13" s="6">
        <v>0.5</v>
      </c>
      <c r="F13" s="6">
        <v>14.0</v>
      </c>
      <c r="G13" s="6">
        <v>3.57</v>
      </c>
      <c r="H13" s="6">
        <v>452.0</v>
      </c>
      <c r="I13" s="6">
        <v>0.0</v>
      </c>
      <c r="J13" s="6">
        <v>6.0</v>
      </c>
      <c r="K13" s="6">
        <v>4.0</v>
      </c>
      <c r="L13" s="6">
        <v>4.0</v>
      </c>
    </row>
    <row r="14">
      <c r="A14" s="6" t="s">
        <v>123</v>
      </c>
      <c r="B14" s="6" t="s">
        <v>53</v>
      </c>
      <c r="C14" s="6">
        <v>75.0</v>
      </c>
      <c r="D14" s="6">
        <v>1327.0</v>
      </c>
      <c r="E14" s="6">
        <v>1.3</v>
      </c>
      <c r="F14" s="6">
        <v>24.0</v>
      </c>
      <c r="G14" s="6">
        <v>3.13</v>
      </c>
      <c r="H14" s="6">
        <v>592.0</v>
      </c>
      <c r="I14" s="6">
        <v>0.0</v>
      </c>
      <c r="J14" s="6">
        <v>11.0</v>
      </c>
      <c r="K14" s="6">
        <v>6.0</v>
      </c>
      <c r="L14" s="6">
        <v>7.0</v>
      </c>
    </row>
    <row r="15">
      <c r="A15" s="6" t="s">
        <v>61</v>
      </c>
      <c r="B15" s="6" t="s">
        <v>53</v>
      </c>
      <c r="C15" s="6">
        <v>100.0</v>
      </c>
      <c r="D15" s="6">
        <v>1206.0</v>
      </c>
      <c r="E15" s="6">
        <v>2.3</v>
      </c>
      <c r="F15" s="6">
        <v>32.0</v>
      </c>
      <c r="G15" s="6">
        <v>3.13</v>
      </c>
      <c r="H15" s="6">
        <v>846.0</v>
      </c>
      <c r="I15" s="6">
        <v>0.0</v>
      </c>
      <c r="J15" s="6">
        <v>21.0</v>
      </c>
      <c r="K15" s="6">
        <v>6.0</v>
      </c>
      <c r="L15" s="6">
        <v>5.0</v>
      </c>
    </row>
    <row r="16">
      <c r="A16" s="6" t="s">
        <v>100</v>
      </c>
      <c r="B16" s="6" t="s">
        <v>53</v>
      </c>
      <c r="C16" s="6">
        <v>100.0</v>
      </c>
      <c r="D16" s="6">
        <v>1584.0</v>
      </c>
      <c r="E16" s="6">
        <v>2.3</v>
      </c>
      <c r="F16" s="6">
        <v>32.0</v>
      </c>
      <c r="G16" s="6">
        <v>3.13</v>
      </c>
      <c r="H16" s="6">
        <v>714.0</v>
      </c>
      <c r="I16" s="6">
        <v>0.0</v>
      </c>
      <c r="J16" s="6">
        <v>18.0</v>
      </c>
      <c r="K16" s="6">
        <v>6.0</v>
      </c>
      <c r="L16" s="6">
        <v>8.0</v>
      </c>
    </row>
    <row r="17">
      <c r="A17" s="6" t="s">
        <v>94</v>
      </c>
      <c r="B17" s="6" t="s">
        <v>53</v>
      </c>
      <c r="C17" s="6">
        <v>150.0</v>
      </c>
      <c r="D17" s="6">
        <v>1790.0</v>
      </c>
      <c r="E17" s="6">
        <v>5.1</v>
      </c>
      <c r="F17" s="6">
        <v>47.0</v>
      </c>
      <c r="G17" s="6">
        <v>3.19</v>
      </c>
      <c r="H17" s="6">
        <v>1260.0</v>
      </c>
      <c r="I17" s="6">
        <v>0.0</v>
      </c>
      <c r="J17" s="6">
        <v>26.0</v>
      </c>
      <c r="K17" s="6">
        <v>11.0</v>
      </c>
      <c r="L17" s="6">
        <v>10.0</v>
      </c>
    </row>
    <row r="18">
      <c r="A18" s="6" t="s">
        <v>132</v>
      </c>
      <c r="B18" s="6" t="s">
        <v>53</v>
      </c>
      <c r="C18" s="6">
        <v>208.0</v>
      </c>
      <c r="D18" s="6">
        <v>2191.0</v>
      </c>
      <c r="E18" s="6">
        <v>9.6</v>
      </c>
      <c r="F18" s="6">
        <v>63.0</v>
      </c>
      <c r="G18" s="6">
        <v>3.3</v>
      </c>
      <c r="H18" s="6">
        <v>1746.0</v>
      </c>
      <c r="I18" s="6">
        <v>1.0</v>
      </c>
      <c r="J18" s="6">
        <v>35.0</v>
      </c>
      <c r="K18" s="6">
        <v>15.0</v>
      </c>
      <c r="L18" s="6">
        <v>13.0</v>
      </c>
    </row>
    <row r="19">
      <c r="A19" s="6" t="s">
        <v>110</v>
      </c>
      <c r="B19" s="6" t="s">
        <v>53</v>
      </c>
      <c r="C19" s="6">
        <v>208.0</v>
      </c>
      <c r="D19" s="6">
        <v>2711.0</v>
      </c>
      <c r="E19" s="6">
        <v>9.7</v>
      </c>
      <c r="F19" s="6">
        <v>62.0</v>
      </c>
      <c r="G19" s="6">
        <v>3.35</v>
      </c>
      <c r="H19" s="6">
        <v>1646.0</v>
      </c>
      <c r="I19" s="6">
        <v>0.0</v>
      </c>
      <c r="J19" s="6">
        <v>28.0</v>
      </c>
      <c r="K19" s="6">
        <v>12.0</v>
      </c>
      <c r="L19" s="6">
        <v>22.0</v>
      </c>
    </row>
    <row r="20">
      <c r="A20" s="6" t="s">
        <v>52</v>
      </c>
      <c r="B20" s="6" t="s">
        <v>53</v>
      </c>
      <c r="C20" s="6">
        <v>300.0</v>
      </c>
      <c r="D20" s="6">
        <v>2933.0</v>
      </c>
      <c r="E20" s="6">
        <v>20.9</v>
      </c>
      <c r="F20" s="6">
        <v>100.0</v>
      </c>
      <c r="G20" s="6">
        <v>3.0</v>
      </c>
      <c r="H20" s="6">
        <v>2108.0</v>
      </c>
      <c r="I20" s="6">
        <v>0.0</v>
      </c>
      <c r="J20" s="6">
        <v>53.0</v>
      </c>
      <c r="K20" s="6">
        <v>22.0</v>
      </c>
      <c r="L20" s="6">
        <v>25.0</v>
      </c>
    </row>
    <row r="21">
      <c r="A21" s="6" t="s">
        <v>86</v>
      </c>
      <c r="B21" s="6" t="s">
        <v>53</v>
      </c>
      <c r="C21" s="6">
        <v>500.0</v>
      </c>
      <c r="D21" s="6">
        <v>4037.0</v>
      </c>
      <c r="E21" s="6">
        <v>64.3</v>
      </c>
      <c r="F21" s="6">
        <v>167.0</v>
      </c>
      <c r="G21" s="6">
        <v>2.99</v>
      </c>
      <c r="H21" s="6">
        <v>3257.0</v>
      </c>
      <c r="I21" s="6">
        <v>0.0</v>
      </c>
      <c r="J21" s="6">
        <v>89.0</v>
      </c>
      <c r="K21" s="6">
        <v>31.0</v>
      </c>
      <c r="L21" s="6">
        <v>47.0</v>
      </c>
    </row>
    <row r="22">
      <c r="A22" s="6" t="s">
        <v>125</v>
      </c>
      <c r="B22" s="6" t="s">
        <v>45</v>
      </c>
      <c r="C22" s="6">
        <v>10.0</v>
      </c>
      <c r="D22" s="6">
        <v>13.0</v>
      </c>
      <c r="E22" s="6">
        <v>0.0</v>
      </c>
      <c r="F22" s="6">
        <v>4.0</v>
      </c>
      <c r="G22" s="6">
        <v>2.5</v>
      </c>
      <c r="H22" s="6">
        <v>13.0</v>
      </c>
      <c r="I22" s="6">
        <v>0.0</v>
      </c>
      <c r="J22" s="6">
        <v>0.0</v>
      </c>
      <c r="K22" s="6">
        <v>0.0</v>
      </c>
      <c r="L22" s="6">
        <v>4.0</v>
      </c>
    </row>
    <row r="23">
      <c r="A23" s="6" t="s">
        <v>111</v>
      </c>
      <c r="B23" s="6" t="s">
        <v>45</v>
      </c>
      <c r="C23" s="6">
        <v>10.0</v>
      </c>
      <c r="D23" s="6">
        <v>12.0</v>
      </c>
      <c r="E23" s="6">
        <v>0.0</v>
      </c>
      <c r="F23" s="6">
        <v>4.0</v>
      </c>
      <c r="G23" s="6">
        <v>2.5</v>
      </c>
      <c r="H23" s="6">
        <v>12.0</v>
      </c>
      <c r="I23" s="6">
        <v>0.0</v>
      </c>
      <c r="J23" s="6">
        <v>0.0</v>
      </c>
      <c r="K23" s="6">
        <v>1.0</v>
      </c>
      <c r="L23" s="6">
        <v>3.0</v>
      </c>
    </row>
    <row r="24">
      <c r="A24" s="6" t="s">
        <v>133</v>
      </c>
      <c r="B24" s="6" t="s">
        <v>45</v>
      </c>
      <c r="C24" s="6">
        <v>10.0</v>
      </c>
      <c r="D24" s="6">
        <v>13.0</v>
      </c>
      <c r="E24" s="6">
        <v>0.0</v>
      </c>
      <c r="F24" s="6">
        <v>4.0</v>
      </c>
      <c r="G24" s="6">
        <v>2.5</v>
      </c>
      <c r="H24" s="6">
        <v>13.0</v>
      </c>
      <c r="I24" s="6">
        <v>0.0</v>
      </c>
      <c r="J24" s="6">
        <v>0.0</v>
      </c>
      <c r="K24" s="6">
        <v>0.0</v>
      </c>
      <c r="L24" s="6">
        <v>4.0</v>
      </c>
    </row>
    <row r="25">
      <c r="A25" s="6" t="s">
        <v>124</v>
      </c>
      <c r="B25" s="6" t="s">
        <v>45</v>
      </c>
      <c r="C25" s="6">
        <v>10.0</v>
      </c>
      <c r="D25" s="6">
        <v>13.0</v>
      </c>
      <c r="E25" s="6">
        <v>0.0</v>
      </c>
      <c r="F25" s="6">
        <v>4.0</v>
      </c>
      <c r="G25" s="6">
        <v>2.5</v>
      </c>
      <c r="H25" s="6">
        <v>13.0</v>
      </c>
      <c r="I25" s="6">
        <v>0.0</v>
      </c>
      <c r="J25" s="6">
        <v>0.0</v>
      </c>
      <c r="K25" s="6">
        <v>1.0</v>
      </c>
      <c r="L25" s="6">
        <v>3.0</v>
      </c>
    </row>
    <row r="26">
      <c r="A26" s="6" t="s">
        <v>49</v>
      </c>
      <c r="B26" s="6" t="s">
        <v>45</v>
      </c>
      <c r="C26" s="6">
        <v>10.0</v>
      </c>
      <c r="D26" s="6">
        <v>20.0</v>
      </c>
      <c r="E26" s="6">
        <v>0.0</v>
      </c>
      <c r="F26" s="6">
        <v>4.0</v>
      </c>
      <c r="G26" s="6">
        <v>2.5</v>
      </c>
      <c r="H26" s="6">
        <v>20.0</v>
      </c>
      <c r="I26" s="6">
        <v>0.0</v>
      </c>
      <c r="J26" s="6">
        <v>0.0</v>
      </c>
      <c r="K26" s="6">
        <v>0.0</v>
      </c>
      <c r="L26" s="6">
        <v>4.0</v>
      </c>
    </row>
    <row r="27">
      <c r="A27" s="6" t="s">
        <v>130</v>
      </c>
      <c r="B27" s="6" t="s">
        <v>45</v>
      </c>
      <c r="C27" s="6">
        <v>15.0</v>
      </c>
      <c r="D27" s="6">
        <v>20.0</v>
      </c>
      <c r="E27" s="6">
        <v>0.1</v>
      </c>
      <c r="F27" s="6">
        <v>5.0</v>
      </c>
      <c r="G27" s="6">
        <v>3.0</v>
      </c>
      <c r="H27" s="6">
        <v>20.0</v>
      </c>
      <c r="I27" s="6">
        <v>0.0</v>
      </c>
      <c r="J27" s="6">
        <v>0.0</v>
      </c>
      <c r="K27" s="6">
        <v>1.0</v>
      </c>
      <c r="L27" s="6">
        <v>4.0</v>
      </c>
    </row>
    <row r="28">
      <c r="A28" s="6" t="s">
        <v>140</v>
      </c>
      <c r="B28" s="6" t="s">
        <v>45</v>
      </c>
      <c r="C28" s="6">
        <v>15.0</v>
      </c>
      <c r="D28" s="6">
        <v>18.0</v>
      </c>
      <c r="E28" s="6">
        <v>0.1</v>
      </c>
      <c r="F28" s="6">
        <v>5.0</v>
      </c>
      <c r="G28" s="6">
        <v>3.0</v>
      </c>
      <c r="H28" s="6">
        <v>18.0</v>
      </c>
      <c r="I28" s="6">
        <v>0.0</v>
      </c>
      <c r="J28" s="6">
        <v>0.0</v>
      </c>
      <c r="K28" s="6">
        <v>0.0</v>
      </c>
      <c r="L28" s="6">
        <v>5.0</v>
      </c>
    </row>
    <row r="29">
      <c r="A29" s="6" t="s">
        <v>60</v>
      </c>
      <c r="B29" s="6" t="s">
        <v>45</v>
      </c>
      <c r="C29" s="6">
        <v>15.0</v>
      </c>
      <c r="D29" s="6">
        <v>19.0</v>
      </c>
      <c r="E29" s="6">
        <v>0.1</v>
      </c>
      <c r="F29" s="6">
        <v>5.0</v>
      </c>
      <c r="G29" s="6">
        <v>3.0</v>
      </c>
      <c r="H29" s="6">
        <v>19.0</v>
      </c>
      <c r="I29" s="6">
        <v>0.0</v>
      </c>
      <c r="J29" s="6">
        <v>0.0</v>
      </c>
      <c r="K29" s="6">
        <v>0.0</v>
      </c>
      <c r="L29" s="6">
        <v>5.0</v>
      </c>
    </row>
    <row r="30">
      <c r="A30" s="6" t="s">
        <v>59</v>
      </c>
      <c r="B30" s="6" t="s">
        <v>45</v>
      </c>
      <c r="C30" s="6">
        <v>15.0</v>
      </c>
      <c r="D30" s="6">
        <v>23.0</v>
      </c>
      <c r="E30" s="6">
        <v>0.1</v>
      </c>
      <c r="F30" s="6">
        <v>5.0</v>
      </c>
      <c r="G30" s="6">
        <v>3.0</v>
      </c>
      <c r="H30" s="6">
        <v>23.0</v>
      </c>
      <c r="I30" s="6">
        <v>0.0</v>
      </c>
      <c r="J30" s="6">
        <v>0.0</v>
      </c>
      <c r="K30" s="6">
        <v>0.0</v>
      </c>
      <c r="L30" s="6">
        <v>5.0</v>
      </c>
    </row>
    <row r="31">
      <c r="A31" s="6" t="s">
        <v>50</v>
      </c>
      <c r="B31" s="6" t="s">
        <v>45</v>
      </c>
      <c r="C31" s="6">
        <v>15.0</v>
      </c>
      <c r="D31" s="6">
        <v>22.0</v>
      </c>
      <c r="E31" s="6">
        <v>0.1</v>
      </c>
      <c r="F31" s="6">
        <v>5.0</v>
      </c>
      <c r="G31" s="6">
        <v>3.0</v>
      </c>
      <c r="H31" s="6">
        <v>22.0</v>
      </c>
      <c r="I31" s="6">
        <v>0.0</v>
      </c>
      <c r="J31" s="6">
        <v>0.0</v>
      </c>
      <c r="K31" s="6">
        <v>1.0</v>
      </c>
      <c r="L31" s="6">
        <v>4.0</v>
      </c>
    </row>
    <row r="32">
      <c r="A32" s="6" t="s">
        <v>95</v>
      </c>
      <c r="B32" s="6" t="s">
        <v>45</v>
      </c>
      <c r="C32" s="6">
        <v>20.0</v>
      </c>
      <c r="D32" s="6">
        <v>34.0</v>
      </c>
      <c r="E32" s="6">
        <v>0.1</v>
      </c>
      <c r="F32" s="6">
        <v>6.0</v>
      </c>
      <c r="G32" s="6">
        <v>3.33</v>
      </c>
      <c r="H32" s="6">
        <v>34.0</v>
      </c>
      <c r="I32" s="6">
        <v>0.0</v>
      </c>
      <c r="J32" s="6">
        <v>0.0</v>
      </c>
      <c r="K32" s="6">
        <v>0.0</v>
      </c>
      <c r="L32" s="6">
        <v>6.0</v>
      </c>
    </row>
    <row r="33">
      <c r="A33" s="6" t="s">
        <v>73</v>
      </c>
      <c r="B33" s="6" t="s">
        <v>45</v>
      </c>
      <c r="C33" s="6">
        <v>20.0</v>
      </c>
      <c r="D33" s="6">
        <v>31.0</v>
      </c>
      <c r="E33" s="6">
        <v>0.1</v>
      </c>
      <c r="F33" s="6">
        <v>6.0</v>
      </c>
      <c r="G33" s="6">
        <v>3.33</v>
      </c>
      <c r="H33" s="6">
        <v>31.0</v>
      </c>
      <c r="I33" s="6">
        <v>0.0</v>
      </c>
      <c r="J33" s="6">
        <v>0.0</v>
      </c>
      <c r="K33" s="6">
        <v>0.0</v>
      </c>
      <c r="L33" s="6">
        <v>6.0</v>
      </c>
    </row>
    <row r="34">
      <c r="A34" s="6" t="s">
        <v>46</v>
      </c>
      <c r="B34" s="6" t="s">
        <v>45</v>
      </c>
      <c r="C34" s="6">
        <v>20.0</v>
      </c>
      <c r="D34" s="6">
        <v>25.0</v>
      </c>
      <c r="E34" s="6">
        <v>0.1</v>
      </c>
      <c r="F34" s="6">
        <v>6.0</v>
      </c>
      <c r="G34" s="6">
        <v>3.33</v>
      </c>
      <c r="H34" s="6">
        <v>25.0</v>
      </c>
      <c r="I34" s="6">
        <v>0.0</v>
      </c>
      <c r="J34" s="6">
        <v>0.0</v>
      </c>
      <c r="K34" s="6">
        <v>0.0</v>
      </c>
      <c r="L34" s="6">
        <v>6.0</v>
      </c>
    </row>
    <row r="35">
      <c r="A35" s="6" t="s">
        <v>103</v>
      </c>
      <c r="B35" s="6" t="s">
        <v>45</v>
      </c>
      <c r="C35" s="6">
        <v>20.0</v>
      </c>
      <c r="D35" s="6">
        <v>26.0</v>
      </c>
      <c r="E35" s="6">
        <v>0.1</v>
      </c>
      <c r="F35" s="6">
        <v>7.0</v>
      </c>
      <c r="G35" s="6">
        <v>2.86</v>
      </c>
      <c r="H35" s="6">
        <v>26.0</v>
      </c>
      <c r="I35" s="6">
        <v>0.0</v>
      </c>
      <c r="J35" s="6">
        <v>0.0</v>
      </c>
      <c r="K35" s="6">
        <v>1.0</v>
      </c>
      <c r="L35" s="6">
        <v>6.0</v>
      </c>
    </row>
    <row r="36">
      <c r="A36" s="6" t="s">
        <v>131</v>
      </c>
      <c r="B36" s="6" t="s">
        <v>45</v>
      </c>
      <c r="C36" s="6">
        <v>20.0</v>
      </c>
      <c r="D36" s="6">
        <v>35.0</v>
      </c>
      <c r="E36" s="6">
        <v>0.1</v>
      </c>
      <c r="F36" s="6">
        <v>7.0</v>
      </c>
      <c r="G36" s="6">
        <v>2.86</v>
      </c>
      <c r="H36" s="6">
        <v>35.0</v>
      </c>
      <c r="I36" s="6">
        <v>0.0</v>
      </c>
      <c r="J36" s="6">
        <v>0.0</v>
      </c>
      <c r="K36" s="6">
        <v>1.0</v>
      </c>
      <c r="L36" s="6">
        <v>6.0</v>
      </c>
    </row>
    <row r="37">
      <c r="A37" s="6" t="s">
        <v>115</v>
      </c>
      <c r="B37" s="6" t="s">
        <v>45</v>
      </c>
      <c r="C37" s="6">
        <v>25.0</v>
      </c>
      <c r="D37" s="6">
        <v>34.0</v>
      </c>
      <c r="E37" s="6">
        <v>0.2</v>
      </c>
      <c r="F37" s="6">
        <v>8.0</v>
      </c>
      <c r="G37" s="6">
        <v>3.13</v>
      </c>
      <c r="H37" s="6">
        <v>34.0</v>
      </c>
      <c r="I37" s="6">
        <v>0.0</v>
      </c>
      <c r="J37" s="6">
        <v>0.0</v>
      </c>
      <c r="K37" s="6">
        <v>0.0</v>
      </c>
      <c r="L37" s="6">
        <v>8.0</v>
      </c>
    </row>
    <row r="38">
      <c r="A38" s="6" t="s">
        <v>71</v>
      </c>
      <c r="B38" s="6" t="s">
        <v>45</v>
      </c>
      <c r="C38" s="6">
        <v>25.0</v>
      </c>
      <c r="D38" s="6">
        <v>44.0</v>
      </c>
      <c r="E38" s="6">
        <v>0.2</v>
      </c>
      <c r="F38" s="6">
        <v>8.0</v>
      </c>
      <c r="G38" s="6">
        <v>3.13</v>
      </c>
      <c r="H38" s="6">
        <v>44.0</v>
      </c>
      <c r="I38" s="6">
        <v>0.0</v>
      </c>
      <c r="J38" s="6">
        <v>0.0</v>
      </c>
      <c r="K38" s="6">
        <v>1.0</v>
      </c>
      <c r="L38" s="6">
        <v>7.0</v>
      </c>
    </row>
    <row r="39">
      <c r="A39" s="6" t="s">
        <v>87</v>
      </c>
      <c r="B39" s="6" t="s">
        <v>45</v>
      </c>
      <c r="C39" s="6">
        <v>25.0</v>
      </c>
      <c r="D39" s="6">
        <v>41.0</v>
      </c>
      <c r="E39" s="6">
        <v>0.2</v>
      </c>
      <c r="F39" s="6">
        <v>8.0</v>
      </c>
      <c r="G39" s="6">
        <v>3.13</v>
      </c>
      <c r="H39" s="6">
        <v>41.0</v>
      </c>
      <c r="I39" s="6">
        <v>0.0</v>
      </c>
      <c r="J39" s="6">
        <v>0.0</v>
      </c>
      <c r="K39" s="6">
        <v>1.0</v>
      </c>
      <c r="L39" s="6">
        <v>7.0</v>
      </c>
    </row>
    <row r="40">
      <c r="A40" s="6" t="s">
        <v>44</v>
      </c>
      <c r="B40" s="6" t="s">
        <v>45</v>
      </c>
      <c r="C40" s="6">
        <v>25.0</v>
      </c>
      <c r="D40" s="6">
        <v>43.0</v>
      </c>
      <c r="E40" s="6">
        <v>0.2</v>
      </c>
      <c r="F40" s="6">
        <v>9.0</v>
      </c>
      <c r="G40" s="6">
        <v>2.78</v>
      </c>
      <c r="H40" s="6">
        <v>43.0</v>
      </c>
      <c r="I40" s="6">
        <v>0.0</v>
      </c>
      <c r="J40" s="6">
        <v>0.0</v>
      </c>
      <c r="K40" s="6">
        <v>1.0</v>
      </c>
      <c r="L40" s="6">
        <v>8.0</v>
      </c>
    </row>
    <row r="41">
      <c r="A41" s="6" t="s">
        <v>134</v>
      </c>
      <c r="B41" s="6" t="s">
        <v>45</v>
      </c>
      <c r="C41" s="6">
        <v>25.0</v>
      </c>
      <c r="D41" s="6">
        <v>45.0</v>
      </c>
      <c r="E41" s="6">
        <v>0.2</v>
      </c>
      <c r="F41" s="6">
        <v>8.0</v>
      </c>
      <c r="G41" s="6">
        <v>3.13</v>
      </c>
      <c r="H41" s="6">
        <v>45.0</v>
      </c>
      <c r="I41" s="6">
        <v>0.0</v>
      </c>
      <c r="J41" s="6">
        <v>0.0</v>
      </c>
      <c r="K41" s="6">
        <v>0.0</v>
      </c>
      <c r="L41" s="6">
        <v>8.0</v>
      </c>
    </row>
    <row r="42">
      <c r="A42" s="6" t="s">
        <v>153</v>
      </c>
      <c r="B42" s="6" t="s">
        <v>45</v>
      </c>
      <c r="C42" s="6">
        <v>30.0</v>
      </c>
      <c r="D42" s="6">
        <v>54.0</v>
      </c>
      <c r="E42" s="6">
        <v>0.2</v>
      </c>
      <c r="F42" s="6">
        <v>8.0</v>
      </c>
      <c r="G42" s="6">
        <v>3.75</v>
      </c>
      <c r="H42" s="6">
        <v>54.0</v>
      </c>
      <c r="I42" s="6">
        <v>0.0</v>
      </c>
      <c r="J42" s="6">
        <v>0.0</v>
      </c>
      <c r="K42" s="6">
        <v>0.0</v>
      </c>
      <c r="L42" s="6">
        <v>8.0</v>
      </c>
    </row>
    <row r="43">
      <c r="A43" s="6" t="s">
        <v>51</v>
      </c>
      <c r="B43" s="6" t="s">
        <v>45</v>
      </c>
      <c r="C43" s="6">
        <v>30.0</v>
      </c>
      <c r="D43" s="6">
        <v>59.0</v>
      </c>
      <c r="E43" s="6">
        <v>0.2</v>
      </c>
      <c r="F43" s="6">
        <v>9.0</v>
      </c>
      <c r="G43" s="6">
        <v>3.33</v>
      </c>
      <c r="H43" s="6">
        <v>59.0</v>
      </c>
      <c r="I43" s="6">
        <v>0.0</v>
      </c>
      <c r="J43" s="6">
        <v>0.0</v>
      </c>
      <c r="K43" s="6">
        <v>0.0</v>
      </c>
      <c r="L43" s="6">
        <v>9.0</v>
      </c>
    </row>
    <row r="44">
      <c r="A44" s="6" t="s">
        <v>96</v>
      </c>
      <c r="B44" s="6" t="s">
        <v>45</v>
      </c>
      <c r="C44" s="6">
        <v>30.0</v>
      </c>
      <c r="D44" s="6">
        <v>64.0</v>
      </c>
      <c r="E44" s="6">
        <v>0.2</v>
      </c>
      <c r="F44" s="6">
        <v>10.0</v>
      </c>
      <c r="G44" s="6">
        <v>3.0</v>
      </c>
      <c r="H44" s="6">
        <v>64.0</v>
      </c>
      <c r="I44" s="6">
        <v>0.0</v>
      </c>
      <c r="J44" s="6">
        <v>0.0</v>
      </c>
      <c r="K44" s="6">
        <v>0.0</v>
      </c>
      <c r="L44" s="6">
        <v>10.0</v>
      </c>
    </row>
    <row r="45">
      <c r="A45" s="6" t="s">
        <v>106</v>
      </c>
      <c r="B45" s="6" t="s">
        <v>45</v>
      </c>
      <c r="C45" s="6">
        <v>30.0</v>
      </c>
      <c r="D45" s="6">
        <v>62.0</v>
      </c>
      <c r="E45" s="6">
        <v>0.2</v>
      </c>
      <c r="F45" s="6">
        <v>9.0</v>
      </c>
      <c r="G45" s="6">
        <v>3.33</v>
      </c>
      <c r="H45" s="6">
        <v>62.0</v>
      </c>
      <c r="I45" s="6">
        <v>0.0</v>
      </c>
      <c r="J45" s="6">
        <v>0.0</v>
      </c>
      <c r="K45" s="6">
        <v>1.0</v>
      </c>
      <c r="L45" s="6">
        <v>8.0</v>
      </c>
    </row>
    <row r="46">
      <c r="A46" s="6" t="s">
        <v>91</v>
      </c>
      <c r="B46" s="6" t="s">
        <v>45</v>
      </c>
      <c r="C46" s="6">
        <v>30.0</v>
      </c>
      <c r="D46" s="6">
        <v>58.0</v>
      </c>
      <c r="E46" s="6">
        <v>0.2</v>
      </c>
      <c r="F46" s="6">
        <v>9.0</v>
      </c>
      <c r="G46" s="6">
        <v>3.33</v>
      </c>
      <c r="H46" s="6">
        <v>58.0</v>
      </c>
      <c r="I46" s="6">
        <v>0.0</v>
      </c>
      <c r="J46" s="6">
        <v>0.0</v>
      </c>
      <c r="K46" s="6">
        <v>0.0</v>
      </c>
      <c r="L46" s="6">
        <v>9.0</v>
      </c>
    </row>
    <row r="47">
      <c r="A47" s="6" t="s">
        <v>66</v>
      </c>
      <c r="B47" s="6" t="s">
        <v>45</v>
      </c>
      <c r="C47" s="6">
        <v>40.0</v>
      </c>
      <c r="D47" s="6">
        <v>88.0</v>
      </c>
      <c r="E47" s="6">
        <v>0.4</v>
      </c>
      <c r="F47" s="6">
        <v>12.0</v>
      </c>
      <c r="G47" s="6">
        <v>3.33</v>
      </c>
      <c r="H47" s="6">
        <v>88.0</v>
      </c>
      <c r="I47" s="6">
        <v>0.0</v>
      </c>
      <c r="J47" s="6">
        <v>0.0</v>
      </c>
      <c r="K47" s="6">
        <v>1.0</v>
      </c>
      <c r="L47" s="6">
        <v>11.0</v>
      </c>
    </row>
    <row r="48">
      <c r="A48" s="6" t="s">
        <v>75</v>
      </c>
      <c r="B48" s="6" t="s">
        <v>45</v>
      </c>
      <c r="C48" s="6">
        <v>40.0</v>
      </c>
      <c r="D48" s="6">
        <v>82.0</v>
      </c>
      <c r="E48" s="6">
        <v>0.4</v>
      </c>
      <c r="F48" s="6">
        <v>12.0</v>
      </c>
      <c r="G48" s="6">
        <v>3.33</v>
      </c>
      <c r="H48" s="6">
        <v>82.0</v>
      </c>
      <c r="I48" s="6">
        <v>0.0</v>
      </c>
      <c r="J48" s="6">
        <v>0.0</v>
      </c>
      <c r="K48" s="6">
        <v>0.0</v>
      </c>
      <c r="L48" s="6">
        <v>12.0</v>
      </c>
    </row>
    <row r="49">
      <c r="A49" s="6" t="s">
        <v>58</v>
      </c>
      <c r="B49" s="6" t="s">
        <v>45</v>
      </c>
      <c r="C49" s="6">
        <v>40.0</v>
      </c>
      <c r="D49" s="6">
        <v>91.0</v>
      </c>
      <c r="E49" s="6">
        <v>0.4</v>
      </c>
      <c r="F49" s="6">
        <v>13.0</v>
      </c>
      <c r="G49" s="6">
        <v>3.08</v>
      </c>
      <c r="H49" s="6">
        <v>91.0</v>
      </c>
      <c r="I49" s="6">
        <v>0.0</v>
      </c>
      <c r="J49" s="6">
        <v>0.0</v>
      </c>
      <c r="K49" s="6">
        <v>0.0</v>
      </c>
      <c r="L49" s="6">
        <v>13.0</v>
      </c>
    </row>
    <row r="50">
      <c r="A50" s="6" t="s">
        <v>108</v>
      </c>
      <c r="B50" s="6" t="s">
        <v>45</v>
      </c>
      <c r="C50" s="6">
        <v>40.0</v>
      </c>
      <c r="D50" s="6">
        <v>93.0</v>
      </c>
      <c r="E50" s="6">
        <v>0.4</v>
      </c>
      <c r="F50" s="6">
        <v>13.0</v>
      </c>
      <c r="G50" s="6">
        <v>3.08</v>
      </c>
      <c r="H50" s="6">
        <v>93.0</v>
      </c>
      <c r="I50" s="6">
        <v>0.0</v>
      </c>
      <c r="J50" s="6">
        <v>0.0</v>
      </c>
      <c r="K50" s="6">
        <v>2.0</v>
      </c>
      <c r="L50" s="6">
        <v>11.0</v>
      </c>
    </row>
    <row r="51">
      <c r="A51" s="6" t="s">
        <v>122</v>
      </c>
      <c r="B51" s="6" t="s">
        <v>45</v>
      </c>
      <c r="C51" s="6">
        <v>40.0</v>
      </c>
      <c r="D51" s="6">
        <v>92.0</v>
      </c>
      <c r="E51" s="6">
        <v>0.4</v>
      </c>
      <c r="F51" s="6">
        <v>14.0</v>
      </c>
      <c r="G51" s="6">
        <v>2.86</v>
      </c>
      <c r="H51" s="6">
        <v>92.0</v>
      </c>
      <c r="I51" s="6">
        <v>0.0</v>
      </c>
      <c r="J51" s="6">
        <v>0.0</v>
      </c>
      <c r="K51" s="6">
        <v>2.0</v>
      </c>
      <c r="L51" s="6">
        <v>12.0</v>
      </c>
    </row>
    <row r="52">
      <c r="A52" s="6" t="s">
        <v>88</v>
      </c>
      <c r="B52" s="6" t="s">
        <v>45</v>
      </c>
      <c r="C52" s="6">
        <v>50.0</v>
      </c>
      <c r="D52" s="6">
        <v>115.0</v>
      </c>
      <c r="E52" s="6">
        <v>0.6</v>
      </c>
      <c r="F52" s="6">
        <v>16.0</v>
      </c>
      <c r="G52" s="6">
        <v>3.13</v>
      </c>
      <c r="H52" s="6">
        <v>115.0</v>
      </c>
      <c r="I52" s="6">
        <v>0.0</v>
      </c>
      <c r="J52" s="6">
        <v>0.0</v>
      </c>
      <c r="K52" s="6">
        <v>2.0</v>
      </c>
      <c r="L52" s="6">
        <v>14.0</v>
      </c>
    </row>
    <row r="53">
      <c r="A53" s="6" t="s">
        <v>135</v>
      </c>
      <c r="B53" s="6" t="s">
        <v>45</v>
      </c>
      <c r="C53" s="6">
        <v>50.0</v>
      </c>
      <c r="D53" s="6">
        <v>124.0</v>
      </c>
      <c r="E53" s="6">
        <v>0.5</v>
      </c>
      <c r="F53" s="6">
        <v>14.0</v>
      </c>
      <c r="G53" s="6">
        <v>3.57</v>
      </c>
      <c r="H53" s="6">
        <v>124.0</v>
      </c>
      <c r="I53" s="6">
        <v>0.0</v>
      </c>
      <c r="J53" s="6">
        <v>0.0</v>
      </c>
      <c r="K53" s="6">
        <v>0.0</v>
      </c>
      <c r="L53" s="6">
        <v>14.0</v>
      </c>
    </row>
    <row r="54">
      <c r="A54" s="6" t="s">
        <v>54</v>
      </c>
      <c r="B54" s="6" t="s">
        <v>45</v>
      </c>
      <c r="C54" s="6">
        <v>50.0</v>
      </c>
      <c r="D54" s="6">
        <v>122.0</v>
      </c>
      <c r="E54" s="6">
        <v>0.6</v>
      </c>
      <c r="F54" s="6">
        <v>16.0</v>
      </c>
      <c r="G54" s="6">
        <v>3.13</v>
      </c>
      <c r="H54" s="6">
        <v>122.0</v>
      </c>
      <c r="I54" s="6">
        <v>0.0</v>
      </c>
      <c r="J54" s="6">
        <v>0.0</v>
      </c>
      <c r="K54" s="6">
        <v>1.0</v>
      </c>
      <c r="L54" s="6">
        <v>15.0</v>
      </c>
    </row>
    <row r="55">
      <c r="A55" s="6" t="s">
        <v>148</v>
      </c>
      <c r="B55" s="6" t="s">
        <v>45</v>
      </c>
      <c r="C55" s="6">
        <v>50.0</v>
      </c>
      <c r="D55" s="6">
        <v>118.0</v>
      </c>
      <c r="E55" s="6">
        <v>0.6</v>
      </c>
      <c r="F55" s="6">
        <v>16.0</v>
      </c>
      <c r="G55" s="6">
        <v>3.13</v>
      </c>
      <c r="H55" s="6">
        <v>118.0</v>
      </c>
      <c r="I55" s="6">
        <v>0.0</v>
      </c>
      <c r="J55" s="6">
        <v>0.0</v>
      </c>
      <c r="K55" s="6">
        <v>2.0</v>
      </c>
      <c r="L55" s="6">
        <v>14.0</v>
      </c>
    </row>
    <row r="56">
      <c r="A56" s="6" t="s">
        <v>76</v>
      </c>
      <c r="B56" s="6" t="s">
        <v>45</v>
      </c>
      <c r="C56" s="6">
        <v>50.0</v>
      </c>
      <c r="D56" s="6">
        <v>127.0</v>
      </c>
      <c r="E56" s="6">
        <v>0.6</v>
      </c>
      <c r="F56" s="6">
        <v>16.0</v>
      </c>
      <c r="G56" s="6">
        <v>3.13</v>
      </c>
      <c r="H56" s="6">
        <v>127.0</v>
      </c>
      <c r="I56" s="6">
        <v>0.0</v>
      </c>
      <c r="J56" s="6">
        <v>0.0</v>
      </c>
      <c r="K56" s="6">
        <v>1.0</v>
      </c>
      <c r="L56" s="6">
        <v>15.0</v>
      </c>
    </row>
    <row r="57">
      <c r="A57" s="6" t="s">
        <v>62</v>
      </c>
      <c r="B57" s="6" t="s">
        <v>45</v>
      </c>
      <c r="C57" s="6">
        <v>75.0</v>
      </c>
      <c r="D57" s="6">
        <v>222.0</v>
      </c>
      <c r="E57" s="6">
        <v>1.2</v>
      </c>
      <c r="F57" s="6">
        <v>22.0</v>
      </c>
      <c r="G57" s="6">
        <v>3.41</v>
      </c>
      <c r="H57" s="6">
        <v>222.0</v>
      </c>
      <c r="I57" s="6">
        <v>0.0</v>
      </c>
      <c r="J57" s="6">
        <v>0.0</v>
      </c>
      <c r="K57" s="6">
        <v>4.0</v>
      </c>
      <c r="L57" s="6">
        <v>18.0</v>
      </c>
    </row>
    <row r="58">
      <c r="A58" s="6" t="s">
        <v>72</v>
      </c>
      <c r="B58" s="6" t="s">
        <v>45</v>
      </c>
      <c r="C58" s="6">
        <v>75.0</v>
      </c>
      <c r="D58" s="6">
        <v>192.0</v>
      </c>
      <c r="E58" s="6">
        <v>1.2</v>
      </c>
      <c r="F58" s="6">
        <v>25.0</v>
      </c>
      <c r="G58" s="6">
        <v>3.0</v>
      </c>
      <c r="H58" s="6">
        <v>192.0</v>
      </c>
      <c r="I58" s="6">
        <v>0.0</v>
      </c>
      <c r="J58" s="6">
        <v>0.0</v>
      </c>
      <c r="K58" s="6">
        <v>4.0</v>
      </c>
      <c r="L58" s="6">
        <v>21.0</v>
      </c>
    </row>
    <row r="59">
      <c r="A59" s="6" t="s">
        <v>74</v>
      </c>
      <c r="B59" s="6" t="s">
        <v>45</v>
      </c>
      <c r="C59" s="6">
        <v>75.0</v>
      </c>
      <c r="D59" s="6">
        <v>197.0</v>
      </c>
      <c r="E59" s="6">
        <v>1.3</v>
      </c>
      <c r="F59" s="6">
        <v>24.0</v>
      </c>
      <c r="G59" s="6">
        <v>3.13</v>
      </c>
      <c r="H59" s="6">
        <v>197.0</v>
      </c>
      <c r="I59" s="6">
        <v>0.0</v>
      </c>
      <c r="J59" s="6">
        <v>0.0</v>
      </c>
      <c r="K59" s="6">
        <v>4.0</v>
      </c>
      <c r="L59" s="6">
        <v>20.0</v>
      </c>
    </row>
    <row r="60">
      <c r="A60" s="6" t="s">
        <v>120</v>
      </c>
      <c r="B60" s="6" t="s">
        <v>45</v>
      </c>
      <c r="C60" s="6">
        <v>75.0</v>
      </c>
      <c r="D60" s="6">
        <v>189.0</v>
      </c>
      <c r="E60" s="6">
        <v>1.3</v>
      </c>
      <c r="F60" s="6">
        <v>23.0</v>
      </c>
      <c r="G60" s="6">
        <v>3.26</v>
      </c>
      <c r="H60" s="6">
        <v>189.0</v>
      </c>
      <c r="I60" s="6">
        <v>0.0</v>
      </c>
      <c r="J60" s="6">
        <v>1.0</v>
      </c>
      <c r="K60" s="6">
        <v>3.0</v>
      </c>
      <c r="L60" s="6">
        <v>19.0</v>
      </c>
    </row>
    <row r="61">
      <c r="A61" s="6" t="s">
        <v>119</v>
      </c>
      <c r="B61" s="6" t="s">
        <v>45</v>
      </c>
      <c r="C61" s="6">
        <v>75.0</v>
      </c>
      <c r="D61" s="6">
        <v>198.0</v>
      </c>
      <c r="E61" s="6">
        <v>1.2</v>
      </c>
      <c r="F61" s="6">
        <v>23.0</v>
      </c>
      <c r="G61" s="6">
        <v>3.26</v>
      </c>
      <c r="H61" s="6">
        <v>198.0</v>
      </c>
      <c r="I61" s="6">
        <v>0.0</v>
      </c>
      <c r="J61" s="6">
        <v>1.0</v>
      </c>
      <c r="K61" s="6">
        <v>2.0</v>
      </c>
      <c r="L61" s="6">
        <v>20.0</v>
      </c>
    </row>
    <row r="62">
      <c r="A62" s="6" t="s">
        <v>101</v>
      </c>
      <c r="B62" s="6" t="s">
        <v>45</v>
      </c>
      <c r="C62" s="6">
        <v>100.0</v>
      </c>
      <c r="D62" s="6">
        <v>300.0</v>
      </c>
      <c r="E62" s="6">
        <v>2.1</v>
      </c>
      <c r="F62" s="6">
        <v>29.0</v>
      </c>
      <c r="G62" s="6">
        <v>3.45</v>
      </c>
      <c r="H62" s="6">
        <v>300.0</v>
      </c>
      <c r="I62" s="6">
        <v>0.0</v>
      </c>
      <c r="J62" s="6">
        <v>0.0</v>
      </c>
      <c r="K62" s="6">
        <v>4.0</v>
      </c>
      <c r="L62" s="6">
        <v>25.0</v>
      </c>
    </row>
    <row r="63">
      <c r="A63" s="6" t="s">
        <v>117</v>
      </c>
      <c r="B63" s="6" t="s">
        <v>45</v>
      </c>
      <c r="C63" s="6">
        <v>100.0</v>
      </c>
      <c r="D63" s="6">
        <v>282.0</v>
      </c>
      <c r="E63" s="6">
        <v>2.2</v>
      </c>
      <c r="F63" s="6">
        <v>33.0</v>
      </c>
      <c r="G63" s="6">
        <v>3.03</v>
      </c>
      <c r="H63" s="6">
        <v>282.0</v>
      </c>
      <c r="I63" s="6">
        <v>0.0</v>
      </c>
      <c r="J63" s="6">
        <v>0.0</v>
      </c>
      <c r="K63" s="6">
        <v>9.0</v>
      </c>
      <c r="L63" s="6">
        <v>24.0</v>
      </c>
    </row>
    <row r="64">
      <c r="A64" s="6" t="s">
        <v>98</v>
      </c>
      <c r="B64" s="6" t="s">
        <v>45</v>
      </c>
      <c r="C64" s="6">
        <v>100.0</v>
      </c>
      <c r="D64" s="6">
        <v>300.0</v>
      </c>
      <c r="E64" s="6">
        <v>2.1</v>
      </c>
      <c r="F64" s="6">
        <v>30.0</v>
      </c>
      <c r="G64" s="6">
        <v>3.33</v>
      </c>
      <c r="H64" s="6">
        <v>300.0</v>
      </c>
      <c r="I64" s="6">
        <v>0.0</v>
      </c>
      <c r="J64" s="6">
        <v>1.0</v>
      </c>
      <c r="K64" s="6">
        <v>4.0</v>
      </c>
      <c r="L64" s="6">
        <v>25.0</v>
      </c>
    </row>
    <row r="65">
      <c r="A65" s="6" t="s">
        <v>143</v>
      </c>
      <c r="B65" s="6" t="s">
        <v>45</v>
      </c>
      <c r="C65" s="6">
        <v>100.0</v>
      </c>
      <c r="D65" s="6">
        <v>282.0</v>
      </c>
      <c r="E65" s="6">
        <v>2.2</v>
      </c>
      <c r="F65" s="6">
        <v>32.0</v>
      </c>
      <c r="G65" s="6">
        <v>3.13</v>
      </c>
      <c r="H65" s="6">
        <v>282.0</v>
      </c>
      <c r="I65" s="6">
        <v>0.0</v>
      </c>
      <c r="J65" s="6">
        <v>0.0</v>
      </c>
      <c r="K65" s="6">
        <v>4.0</v>
      </c>
      <c r="L65" s="6">
        <v>28.0</v>
      </c>
    </row>
    <row r="66">
      <c r="A66" s="6" t="s">
        <v>92</v>
      </c>
      <c r="B66" s="6" t="s">
        <v>45</v>
      </c>
      <c r="C66" s="6">
        <v>100.0</v>
      </c>
      <c r="D66" s="6">
        <v>305.0</v>
      </c>
      <c r="E66" s="6">
        <v>2.1</v>
      </c>
      <c r="F66" s="6">
        <v>29.0</v>
      </c>
      <c r="G66" s="6">
        <v>3.45</v>
      </c>
      <c r="H66" s="6">
        <v>305.0</v>
      </c>
      <c r="I66" s="6">
        <v>0.0</v>
      </c>
      <c r="J66" s="6">
        <v>0.0</v>
      </c>
      <c r="K66" s="6">
        <v>3.0</v>
      </c>
      <c r="L66" s="6">
        <v>26.0</v>
      </c>
    </row>
    <row r="67">
      <c r="A67" s="6" t="s">
        <v>97</v>
      </c>
      <c r="B67" s="6" t="s">
        <v>45</v>
      </c>
      <c r="C67" s="6">
        <v>125.0</v>
      </c>
      <c r="D67" s="6">
        <v>392.0</v>
      </c>
      <c r="E67" s="6">
        <v>3.3</v>
      </c>
      <c r="F67" s="6">
        <v>37.0</v>
      </c>
      <c r="G67" s="6">
        <v>3.38</v>
      </c>
      <c r="H67" s="6">
        <v>392.0</v>
      </c>
      <c r="I67" s="6">
        <v>0.0</v>
      </c>
      <c r="J67" s="6">
        <v>0.0</v>
      </c>
      <c r="K67" s="6">
        <v>7.0</v>
      </c>
      <c r="L67" s="6">
        <v>30.0</v>
      </c>
    </row>
    <row r="68">
      <c r="A68" s="6" t="s">
        <v>121</v>
      </c>
      <c r="B68" s="6" t="s">
        <v>45</v>
      </c>
      <c r="C68" s="6">
        <v>125.0</v>
      </c>
      <c r="D68" s="6">
        <v>388.0</v>
      </c>
      <c r="E68" s="6">
        <v>3.4</v>
      </c>
      <c r="F68" s="6">
        <v>39.0</v>
      </c>
      <c r="G68" s="6">
        <v>3.21</v>
      </c>
      <c r="H68" s="6">
        <v>388.0</v>
      </c>
      <c r="I68" s="6">
        <v>0.0</v>
      </c>
      <c r="J68" s="6">
        <v>0.0</v>
      </c>
      <c r="K68" s="6">
        <v>7.0</v>
      </c>
      <c r="L68" s="6">
        <v>32.0</v>
      </c>
    </row>
    <row r="69">
      <c r="A69" s="6" t="s">
        <v>116</v>
      </c>
      <c r="B69" s="6" t="s">
        <v>45</v>
      </c>
      <c r="C69" s="6">
        <v>125.0</v>
      </c>
      <c r="D69" s="6">
        <v>379.0</v>
      </c>
      <c r="E69" s="6">
        <v>3.5</v>
      </c>
      <c r="F69" s="6">
        <v>40.0</v>
      </c>
      <c r="G69" s="6">
        <v>3.13</v>
      </c>
      <c r="H69" s="6">
        <v>379.0</v>
      </c>
      <c r="I69" s="6">
        <v>0.0</v>
      </c>
      <c r="J69" s="6">
        <v>1.0</v>
      </c>
      <c r="K69" s="6">
        <v>10.0</v>
      </c>
      <c r="L69" s="6">
        <v>29.0</v>
      </c>
    </row>
    <row r="70">
      <c r="A70" s="6" t="s">
        <v>102</v>
      </c>
      <c r="B70" s="6" t="s">
        <v>45</v>
      </c>
      <c r="C70" s="6">
        <v>125.0</v>
      </c>
      <c r="D70" s="6">
        <v>367.0</v>
      </c>
      <c r="E70" s="6">
        <v>3.6</v>
      </c>
      <c r="F70" s="6">
        <v>38.0</v>
      </c>
      <c r="G70" s="6">
        <v>3.29</v>
      </c>
      <c r="H70" s="6">
        <v>367.0</v>
      </c>
      <c r="I70" s="6">
        <v>0.0</v>
      </c>
      <c r="J70" s="6">
        <v>0.0</v>
      </c>
      <c r="K70" s="6">
        <v>4.0</v>
      </c>
      <c r="L70" s="6">
        <v>34.0</v>
      </c>
    </row>
    <row r="71">
      <c r="A71" s="6" t="s">
        <v>147</v>
      </c>
      <c r="B71" s="6" t="s">
        <v>45</v>
      </c>
      <c r="C71" s="6">
        <v>125.0</v>
      </c>
      <c r="D71" s="6">
        <v>384.0</v>
      </c>
      <c r="E71" s="6">
        <v>3.4</v>
      </c>
      <c r="F71" s="6">
        <v>38.0</v>
      </c>
      <c r="G71" s="6">
        <v>3.29</v>
      </c>
      <c r="H71" s="6">
        <v>384.0</v>
      </c>
      <c r="I71" s="6">
        <v>0.0</v>
      </c>
      <c r="J71" s="6">
        <v>0.0</v>
      </c>
      <c r="K71" s="6">
        <v>9.0</v>
      </c>
      <c r="L71" s="6">
        <v>29.0</v>
      </c>
    </row>
    <row r="72">
      <c r="A72" s="6" t="s">
        <v>146</v>
      </c>
      <c r="B72" s="6" t="s">
        <v>45</v>
      </c>
      <c r="C72" s="6">
        <v>150.0</v>
      </c>
      <c r="D72" s="6">
        <v>478.0</v>
      </c>
      <c r="E72" s="6">
        <v>4.9</v>
      </c>
      <c r="F72" s="6">
        <v>46.0</v>
      </c>
      <c r="G72" s="6">
        <v>3.26</v>
      </c>
      <c r="H72" s="6">
        <v>478.0</v>
      </c>
      <c r="I72" s="6">
        <v>0.0</v>
      </c>
      <c r="J72" s="6">
        <v>2.0</v>
      </c>
      <c r="K72" s="6">
        <v>8.0</v>
      </c>
      <c r="L72" s="6">
        <v>36.0</v>
      </c>
    </row>
    <row r="73">
      <c r="A73" s="6" t="s">
        <v>89</v>
      </c>
      <c r="B73" s="6" t="s">
        <v>45</v>
      </c>
      <c r="C73" s="6">
        <v>150.0</v>
      </c>
      <c r="D73" s="6">
        <v>478.0</v>
      </c>
      <c r="E73" s="6">
        <v>4.9</v>
      </c>
      <c r="F73" s="6">
        <v>46.0</v>
      </c>
      <c r="G73" s="6">
        <v>3.26</v>
      </c>
      <c r="H73" s="6">
        <v>478.0</v>
      </c>
      <c r="I73" s="6">
        <v>0.0</v>
      </c>
      <c r="J73" s="6">
        <v>1.0</v>
      </c>
      <c r="K73" s="6">
        <v>7.0</v>
      </c>
      <c r="L73" s="6">
        <v>38.0</v>
      </c>
    </row>
    <row r="74">
      <c r="A74" s="6" t="s">
        <v>47</v>
      </c>
      <c r="B74" s="6" t="s">
        <v>45</v>
      </c>
      <c r="C74" s="6">
        <v>150.0</v>
      </c>
      <c r="D74" s="6">
        <v>482.0</v>
      </c>
      <c r="E74" s="6">
        <v>4.9</v>
      </c>
      <c r="F74" s="6">
        <v>45.0</v>
      </c>
      <c r="G74" s="6">
        <v>3.33</v>
      </c>
      <c r="H74" s="6">
        <v>482.0</v>
      </c>
      <c r="I74" s="6">
        <v>0.0</v>
      </c>
      <c r="J74" s="6">
        <v>1.0</v>
      </c>
      <c r="K74" s="6">
        <v>9.0</v>
      </c>
      <c r="L74" s="6">
        <v>35.0</v>
      </c>
    </row>
    <row r="75">
      <c r="A75" s="6" t="s">
        <v>137</v>
      </c>
      <c r="B75" s="6" t="s">
        <v>45</v>
      </c>
      <c r="C75" s="6">
        <v>150.0</v>
      </c>
      <c r="D75" s="6">
        <v>484.0</v>
      </c>
      <c r="E75" s="6">
        <v>4.8</v>
      </c>
      <c r="F75" s="6">
        <v>46.0</v>
      </c>
      <c r="G75" s="6">
        <v>3.26</v>
      </c>
      <c r="H75" s="6">
        <v>484.0</v>
      </c>
      <c r="I75" s="6">
        <v>0.0</v>
      </c>
      <c r="J75" s="6">
        <v>2.0</v>
      </c>
      <c r="K75" s="6">
        <v>11.0</v>
      </c>
      <c r="L75" s="6">
        <v>33.0</v>
      </c>
    </row>
    <row r="76">
      <c r="A76" s="6" t="s">
        <v>136</v>
      </c>
      <c r="B76" s="6" t="s">
        <v>45</v>
      </c>
      <c r="C76" s="6">
        <v>150.0</v>
      </c>
      <c r="D76" s="6">
        <v>457.0</v>
      </c>
      <c r="E76" s="6">
        <v>4.9</v>
      </c>
      <c r="F76" s="6">
        <v>47.0</v>
      </c>
      <c r="G76" s="6">
        <v>3.19</v>
      </c>
      <c r="H76" s="6">
        <v>457.0</v>
      </c>
      <c r="I76" s="6">
        <v>0.0</v>
      </c>
      <c r="J76" s="6">
        <v>0.0</v>
      </c>
      <c r="K76" s="6">
        <v>12.0</v>
      </c>
      <c r="L76" s="6">
        <v>35.0</v>
      </c>
    </row>
    <row r="77">
      <c r="A77" s="6" t="s">
        <v>128</v>
      </c>
      <c r="B77" s="6" t="s">
        <v>45</v>
      </c>
      <c r="C77" s="6">
        <v>200.0</v>
      </c>
      <c r="D77" s="6">
        <v>680.0</v>
      </c>
      <c r="E77" s="6">
        <v>8.7</v>
      </c>
      <c r="F77" s="6">
        <v>61.0</v>
      </c>
      <c r="G77" s="6">
        <v>3.28</v>
      </c>
      <c r="H77" s="6">
        <v>680.0</v>
      </c>
      <c r="I77" s="6">
        <v>0.0</v>
      </c>
      <c r="J77" s="6">
        <v>1.0</v>
      </c>
      <c r="K77" s="6">
        <v>14.0</v>
      </c>
      <c r="L77" s="6">
        <v>46.0</v>
      </c>
    </row>
    <row r="78">
      <c r="A78" s="6" t="s">
        <v>68</v>
      </c>
      <c r="B78" s="6" t="s">
        <v>45</v>
      </c>
      <c r="C78" s="6">
        <v>200.0</v>
      </c>
      <c r="D78" s="6">
        <v>676.0</v>
      </c>
      <c r="E78" s="6">
        <v>8.8</v>
      </c>
      <c r="F78" s="6">
        <v>61.0</v>
      </c>
      <c r="G78" s="6">
        <v>3.28</v>
      </c>
      <c r="H78" s="6">
        <v>676.0</v>
      </c>
      <c r="I78" s="6">
        <v>0.0</v>
      </c>
      <c r="J78" s="6">
        <v>1.0</v>
      </c>
      <c r="K78" s="6">
        <v>20.0</v>
      </c>
      <c r="L78" s="6">
        <v>40.0</v>
      </c>
    </row>
    <row r="79">
      <c r="A79" s="6" t="s">
        <v>112</v>
      </c>
      <c r="B79" s="6" t="s">
        <v>45</v>
      </c>
      <c r="C79" s="6">
        <v>200.0</v>
      </c>
      <c r="D79" s="6">
        <v>685.0</v>
      </c>
      <c r="E79" s="6">
        <v>8.6</v>
      </c>
      <c r="F79" s="6">
        <v>59.0</v>
      </c>
      <c r="G79" s="6">
        <v>3.39</v>
      </c>
      <c r="H79" s="6">
        <v>685.0</v>
      </c>
      <c r="I79" s="6">
        <v>0.0</v>
      </c>
      <c r="J79" s="6">
        <v>1.0</v>
      </c>
      <c r="K79" s="6">
        <v>15.0</v>
      </c>
      <c r="L79" s="6">
        <v>43.0</v>
      </c>
    </row>
    <row r="80">
      <c r="A80" s="6" t="s">
        <v>145</v>
      </c>
      <c r="B80" s="6" t="s">
        <v>45</v>
      </c>
      <c r="C80" s="6">
        <v>200.0</v>
      </c>
      <c r="D80" s="6">
        <v>684.0</v>
      </c>
      <c r="E80" s="6">
        <v>8.6</v>
      </c>
      <c r="F80" s="6">
        <v>60.0</v>
      </c>
      <c r="G80" s="6">
        <v>3.33</v>
      </c>
      <c r="H80" s="6">
        <v>684.0</v>
      </c>
      <c r="I80" s="6">
        <v>0.0</v>
      </c>
      <c r="J80" s="6">
        <v>0.0</v>
      </c>
      <c r="K80" s="6">
        <v>17.0</v>
      </c>
      <c r="L80" s="6">
        <v>43.0</v>
      </c>
    </row>
    <row r="81">
      <c r="A81" s="6" t="s">
        <v>56</v>
      </c>
      <c r="B81" s="6" t="s">
        <v>45</v>
      </c>
      <c r="C81" s="6">
        <v>200.0</v>
      </c>
      <c r="D81" s="6">
        <v>684.0</v>
      </c>
      <c r="E81" s="6">
        <v>8.6</v>
      </c>
      <c r="F81" s="6">
        <v>61.0</v>
      </c>
      <c r="G81" s="6">
        <v>3.28</v>
      </c>
      <c r="H81" s="6">
        <v>684.0</v>
      </c>
      <c r="I81" s="6">
        <v>0.0</v>
      </c>
      <c r="J81" s="6">
        <v>1.0</v>
      </c>
      <c r="K81" s="6">
        <v>15.0</v>
      </c>
      <c r="L81" s="6">
        <v>45.0</v>
      </c>
    </row>
    <row r="82">
      <c r="A82" s="6" t="s">
        <v>77</v>
      </c>
      <c r="B82" s="6" t="s">
        <v>45</v>
      </c>
      <c r="C82" s="6">
        <v>250.0</v>
      </c>
      <c r="D82" s="6">
        <v>858.0</v>
      </c>
      <c r="E82" s="6">
        <v>13.8</v>
      </c>
      <c r="F82" s="6">
        <v>76.0</v>
      </c>
      <c r="G82" s="6">
        <v>3.29</v>
      </c>
      <c r="H82" s="6">
        <v>858.0</v>
      </c>
      <c r="I82" s="6">
        <v>0.0</v>
      </c>
      <c r="J82" s="6">
        <v>0.0</v>
      </c>
      <c r="K82" s="6">
        <v>23.0</v>
      </c>
      <c r="L82" s="6">
        <v>53.0</v>
      </c>
    </row>
    <row r="83">
      <c r="A83" s="6" t="s">
        <v>67</v>
      </c>
      <c r="B83" s="6" t="s">
        <v>45</v>
      </c>
      <c r="C83" s="6">
        <v>250.0</v>
      </c>
      <c r="D83" s="6">
        <v>847.0</v>
      </c>
      <c r="E83" s="6">
        <v>13.8</v>
      </c>
      <c r="F83" s="6">
        <v>74.0</v>
      </c>
      <c r="G83" s="6">
        <v>3.38</v>
      </c>
      <c r="H83" s="6">
        <v>847.0</v>
      </c>
      <c r="I83" s="6">
        <v>0.0</v>
      </c>
      <c r="J83" s="6">
        <v>2.0</v>
      </c>
      <c r="K83" s="6">
        <v>15.0</v>
      </c>
      <c r="L83" s="6">
        <v>57.0</v>
      </c>
    </row>
    <row r="84">
      <c r="A84" s="6" t="s">
        <v>70</v>
      </c>
      <c r="B84" s="6" t="s">
        <v>45</v>
      </c>
      <c r="C84" s="6">
        <v>250.0</v>
      </c>
      <c r="D84" s="6">
        <v>851.0</v>
      </c>
      <c r="E84" s="6">
        <v>13.5</v>
      </c>
      <c r="F84" s="6">
        <v>74.0</v>
      </c>
      <c r="G84" s="6">
        <v>3.38</v>
      </c>
      <c r="H84" s="6">
        <v>851.0</v>
      </c>
      <c r="I84" s="6">
        <v>0.0</v>
      </c>
      <c r="J84" s="6">
        <v>2.0</v>
      </c>
      <c r="K84" s="6">
        <v>18.0</v>
      </c>
      <c r="L84" s="6">
        <v>54.0</v>
      </c>
    </row>
    <row r="85">
      <c r="A85" s="6" t="s">
        <v>104</v>
      </c>
      <c r="B85" s="6" t="s">
        <v>45</v>
      </c>
      <c r="C85" s="6">
        <v>250.0</v>
      </c>
      <c r="D85" s="6">
        <v>845.0</v>
      </c>
      <c r="E85" s="6">
        <v>13.6</v>
      </c>
      <c r="F85" s="6">
        <v>74.0</v>
      </c>
      <c r="G85" s="6">
        <v>3.38</v>
      </c>
      <c r="H85" s="6">
        <v>845.0</v>
      </c>
      <c r="I85" s="6">
        <v>0.0</v>
      </c>
      <c r="J85" s="6">
        <v>0.0</v>
      </c>
      <c r="K85" s="6">
        <v>19.0</v>
      </c>
      <c r="L85" s="6">
        <v>55.0</v>
      </c>
    </row>
    <row r="86">
      <c r="A86" s="6" t="s">
        <v>84</v>
      </c>
      <c r="B86" s="6" t="s">
        <v>45</v>
      </c>
      <c r="C86" s="6">
        <v>250.0</v>
      </c>
      <c r="D86" s="6">
        <v>860.0</v>
      </c>
      <c r="E86" s="6">
        <v>13.5</v>
      </c>
      <c r="F86" s="6">
        <v>74.0</v>
      </c>
      <c r="G86" s="6">
        <v>3.38</v>
      </c>
      <c r="H86" s="6">
        <v>860.0</v>
      </c>
      <c r="I86" s="6">
        <v>0.0</v>
      </c>
      <c r="J86" s="6">
        <v>1.0</v>
      </c>
      <c r="K86" s="6">
        <v>16.0</v>
      </c>
      <c r="L86" s="6">
        <v>57.0</v>
      </c>
    </row>
    <row r="87">
      <c r="A87" s="6" t="s">
        <v>107</v>
      </c>
      <c r="B87" s="6" t="s">
        <v>45</v>
      </c>
      <c r="C87" s="6">
        <v>300.0</v>
      </c>
      <c r="D87" s="6">
        <v>978.0</v>
      </c>
      <c r="E87" s="6">
        <v>20.0</v>
      </c>
      <c r="F87" s="6">
        <v>89.0</v>
      </c>
      <c r="G87" s="6">
        <v>3.37</v>
      </c>
      <c r="H87" s="6">
        <v>978.0</v>
      </c>
      <c r="I87" s="6">
        <v>0.0</v>
      </c>
      <c r="J87" s="6">
        <v>1.0</v>
      </c>
      <c r="K87" s="6">
        <v>14.0</v>
      </c>
      <c r="L87" s="6">
        <v>74.0</v>
      </c>
    </row>
    <row r="88">
      <c r="A88" s="6" t="s">
        <v>80</v>
      </c>
      <c r="B88" s="6" t="s">
        <v>45</v>
      </c>
      <c r="C88" s="6">
        <v>300.0</v>
      </c>
      <c r="D88" s="6">
        <v>962.0</v>
      </c>
      <c r="E88" s="6">
        <v>20.1</v>
      </c>
      <c r="F88" s="6">
        <v>91.0</v>
      </c>
      <c r="G88" s="6">
        <v>3.3</v>
      </c>
      <c r="H88" s="6">
        <v>962.0</v>
      </c>
      <c r="I88" s="6">
        <v>0.0</v>
      </c>
      <c r="J88" s="6">
        <v>2.0</v>
      </c>
      <c r="K88" s="6">
        <v>15.0</v>
      </c>
      <c r="L88" s="6">
        <v>74.0</v>
      </c>
    </row>
    <row r="89">
      <c r="A89" s="6" t="s">
        <v>151</v>
      </c>
      <c r="B89" s="6" t="s">
        <v>45</v>
      </c>
      <c r="C89" s="6">
        <v>300.0</v>
      </c>
      <c r="D89" s="6">
        <v>945.0</v>
      </c>
      <c r="E89" s="6">
        <v>20.8</v>
      </c>
      <c r="F89" s="6">
        <v>94.0</v>
      </c>
      <c r="G89" s="6">
        <v>3.19</v>
      </c>
      <c r="H89" s="6">
        <v>945.0</v>
      </c>
      <c r="I89" s="6">
        <v>0.0</v>
      </c>
      <c r="J89" s="6">
        <v>1.0</v>
      </c>
      <c r="K89" s="6">
        <v>23.0</v>
      </c>
      <c r="L89" s="6">
        <v>70.0</v>
      </c>
    </row>
    <row r="90">
      <c r="A90" s="6" t="s">
        <v>118</v>
      </c>
      <c r="B90" s="6" t="s">
        <v>45</v>
      </c>
      <c r="C90" s="6">
        <v>300.0</v>
      </c>
      <c r="D90" s="6">
        <v>1001.0</v>
      </c>
      <c r="E90" s="6">
        <v>19.8</v>
      </c>
      <c r="F90" s="6">
        <v>90.0</v>
      </c>
      <c r="G90" s="6">
        <v>3.33</v>
      </c>
      <c r="H90" s="6">
        <v>1001.0</v>
      </c>
      <c r="I90" s="6">
        <v>0.0</v>
      </c>
      <c r="J90" s="6">
        <v>1.0</v>
      </c>
      <c r="K90" s="6">
        <v>21.0</v>
      </c>
      <c r="L90" s="6">
        <v>68.0</v>
      </c>
    </row>
    <row r="91">
      <c r="A91" s="6" t="s">
        <v>152</v>
      </c>
      <c r="B91" s="6" t="s">
        <v>45</v>
      </c>
      <c r="C91" s="6">
        <v>300.0</v>
      </c>
      <c r="D91" s="6">
        <v>953.0</v>
      </c>
      <c r="E91" s="6">
        <v>19.8</v>
      </c>
      <c r="F91" s="6">
        <v>91.0</v>
      </c>
      <c r="G91" s="6">
        <v>3.3</v>
      </c>
      <c r="H91" s="6">
        <v>953.0</v>
      </c>
      <c r="I91" s="6">
        <v>0.0</v>
      </c>
      <c r="J91" s="6">
        <v>1.0</v>
      </c>
      <c r="K91" s="6">
        <v>12.0</v>
      </c>
      <c r="L91" s="6">
        <v>78.0</v>
      </c>
    </row>
    <row r="92">
      <c r="A92" s="6" t="s">
        <v>99</v>
      </c>
      <c r="B92" s="6" t="s">
        <v>45</v>
      </c>
      <c r="C92" s="6">
        <v>400.0</v>
      </c>
      <c r="D92" s="6">
        <v>1236.0</v>
      </c>
      <c r="E92" s="6">
        <v>37.5</v>
      </c>
      <c r="F92" s="6">
        <v>120.0</v>
      </c>
      <c r="G92" s="6">
        <v>3.33</v>
      </c>
      <c r="H92" s="6">
        <v>1236.0</v>
      </c>
      <c r="I92" s="6">
        <v>0.0</v>
      </c>
      <c r="J92" s="6">
        <v>1.0</v>
      </c>
      <c r="K92" s="6">
        <v>20.0</v>
      </c>
      <c r="L92" s="6">
        <v>99.0</v>
      </c>
    </row>
    <row r="93">
      <c r="A93" s="6" t="s">
        <v>149</v>
      </c>
      <c r="B93" s="6" t="s">
        <v>45</v>
      </c>
      <c r="C93" s="6">
        <v>400.0</v>
      </c>
      <c r="D93" s="6">
        <v>1214.0</v>
      </c>
      <c r="E93" s="6">
        <v>37.5</v>
      </c>
      <c r="F93" s="6">
        <v>121.0</v>
      </c>
      <c r="G93" s="6">
        <v>3.31</v>
      </c>
      <c r="H93" s="6">
        <v>1214.0</v>
      </c>
      <c r="I93" s="6">
        <v>0.0</v>
      </c>
      <c r="J93" s="6">
        <v>0.0</v>
      </c>
      <c r="K93" s="6">
        <v>18.0</v>
      </c>
      <c r="L93" s="6">
        <v>103.0</v>
      </c>
    </row>
    <row r="94">
      <c r="A94" s="6" t="s">
        <v>139</v>
      </c>
      <c r="B94" s="6" t="s">
        <v>45</v>
      </c>
      <c r="C94" s="6">
        <v>400.0</v>
      </c>
      <c r="D94" s="6">
        <v>1220.0</v>
      </c>
      <c r="E94" s="6">
        <v>37.8</v>
      </c>
      <c r="F94" s="6">
        <v>122.0</v>
      </c>
      <c r="G94" s="6">
        <v>3.28</v>
      </c>
      <c r="H94" s="6">
        <v>1220.0</v>
      </c>
      <c r="I94" s="6">
        <v>0.0</v>
      </c>
      <c r="J94" s="6">
        <v>0.0</v>
      </c>
      <c r="K94" s="6">
        <v>21.0</v>
      </c>
      <c r="L94" s="6">
        <v>101.0</v>
      </c>
    </row>
    <row r="95">
      <c r="A95" s="6" t="s">
        <v>113</v>
      </c>
      <c r="B95" s="6" t="s">
        <v>45</v>
      </c>
      <c r="C95" s="6">
        <v>400.0</v>
      </c>
      <c r="D95" s="6">
        <v>1244.0</v>
      </c>
      <c r="E95" s="6">
        <v>36.7</v>
      </c>
      <c r="F95" s="6">
        <v>117.0</v>
      </c>
      <c r="G95" s="6">
        <v>3.42</v>
      </c>
      <c r="H95" s="6">
        <v>1244.0</v>
      </c>
      <c r="I95" s="6">
        <v>0.0</v>
      </c>
      <c r="J95" s="6">
        <v>1.0</v>
      </c>
      <c r="K95" s="6">
        <v>8.0</v>
      </c>
      <c r="L95" s="6">
        <v>108.0</v>
      </c>
    </row>
    <row r="96">
      <c r="A96" s="6" t="s">
        <v>138</v>
      </c>
      <c r="B96" s="6" t="s">
        <v>45</v>
      </c>
      <c r="C96" s="6">
        <v>400.0</v>
      </c>
      <c r="D96" s="6">
        <v>1253.0</v>
      </c>
      <c r="E96" s="6">
        <v>37.4</v>
      </c>
      <c r="F96" s="6">
        <v>119.0</v>
      </c>
      <c r="G96" s="6">
        <v>3.36</v>
      </c>
      <c r="H96" s="6">
        <v>1253.0</v>
      </c>
      <c r="I96" s="6">
        <v>0.0</v>
      </c>
      <c r="J96" s="6">
        <v>1.0</v>
      </c>
      <c r="K96" s="6">
        <v>15.0</v>
      </c>
      <c r="L96" s="6">
        <v>103.0</v>
      </c>
    </row>
    <row r="97">
      <c r="A97" s="6" t="s">
        <v>82</v>
      </c>
      <c r="B97" s="6" t="s">
        <v>45</v>
      </c>
      <c r="C97" s="6">
        <v>500.0</v>
      </c>
      <c r="D97" s="6">
        <v>1478.0</v>
      </c>
      <c r="E97" s="6">
        <v>63.4</v>
      </c>
      <c r="F97" s="6">
        <v>151.0</v>
      </c>
      <c r="G97" s="6">
        <v>3.31</v>
      </c>
      <c r="H97" s="6">
        <v>1478.0</v>
      </c>
      <c r="I97" s="6">
        <v>0.0</v>
      </c>
      <c r="J97" s="6">
        <v>2.0</v>
      </c>
      <c r="K97" s="6">
        <v>11.0</v>
      </c>
      <c r="L97" s="6">
        <v>138.0</v>
      </c>
    </row>
    <row r="98">
      <c r="A98" s="6" t="s">
        <v>142</v>
      </c>
      <c r="B98" s="6" t="s">
        <v>45</v>
      </c>
      <c r="C98" s="6">
        <v>500.0</v>
      </c>
      <c r="D98" s="6">
        <v>1496.0</v>
      </c>
      <c r="E98" s="6">
        <v>60.6</v>
      </c>
      <c r="F98" s="6">
        <v>150.0</v>
      </c>
      <c r="G98" s="6">
        <v>3.33</v>
      </c>
      <c r="H98" s="6">
        <v>1496.0</v>
      </c>
      <c r="I98" s="6">
        <v>0.0</v>
      </c>
      <c r="J98" s="6">
        <v>0.0</v>
      </c>
      <c r="K98" s="6">
        <v>22.0</v>
      </c>
      <c r="L98" s="6">
        <v>128.0</v>
      </c>
    </row>
    <row r="99">
      <c r="A99" s="6" t="s">
        <v>57</v>
      </c>
      <c r="B99" s="6" t="s">
        <v>45</v>
      </c>
      <c r="C99" s="6">
        <v>500.0</v>
      </c>
      <c r="D99" s="6">
        <v>1489.0</v>
      </c>
      <c r="E99" s="6">
        <v>63.3</v>
      </c>
      <c r="F99" s="6">
        <v>153.0</v>
      </c>
      <c r="G99" s="6">
        <v>3.27</v>
      </c>
      <c r="H99" s="6">
        <v>1489.0</v>
      </c>
      <c r="I99" s="6">
        <v>0.0</v>
      </c>
      <c r="J99" s="6">
        <v>0.0</v>
      </c>
      <c r="K99" s="6">
        <v>20.0</v>
      </c>
      <c r="L99" s="6">
        <v>133.0</v>
      </c>
    </row>
    <row r="100">
      <c r="A100" s="6" t="s">
        <v>48</v>
      </c>
      <c r="B100" s="6" t="s">
        <v>45</v>
      </c>
      <c r="C100" s="6">
        <v>500.0</v>
      </c>
      <c r="D100" s="6">
        <v>1459.0</v>
      </c>
      <c r="E100" s="6">
        <v>61.1</v>
      </c>
      <c r="F100" s="6">
        <v>150.0</v>
      </c>
      <c r="G100" s="6">
        <v>3.33</v>
      </c>
      <c r="H100" s="6">
        <v>1459.0</v>
      </c>
      <c r="I100" s="6">
        <v>0.0</v>
      </c>
      <c r="J100" s="6">
        <v>0.0</v>
      </c>
      <c r="K100" s="6">
        <v>14.0</v>
      </c>
      <c r="L100" s="6">
        <v>136.0</v>
      </c>
    </row>
    <row r="101">
      <c r="A101" s="6" t="s">
        <v>78</v>
      </c>
      <c r="B101" s="6" t="s">
        <v>45</v>
      </c>
      <c r="C101" s="6">
        <v>500.0</v>
      </c>
      <c r="D101" s="6">
        <v>1493.0</v>
      </c>
      <c r="E101" s="6">
        <v>62.0</v>
      </c>
      <c r="F101" s="6">
        <v>155.0</v>
      </c>
      <c r="G101" s="6">
        <v>3.23</v>
      </c>
      <c r="H101" s="6">
        <v>1493.0</v>
      </c>
      <c r="I101" s="6">
        <v>0.0</v>
      </c>
      <c r="J101" s="6">
        <v>0.0</v>
      </c>
      <c r="K101" s="6">
        <v>18.0</v>
      </c>
      <c r="L101" s="6">
        <v>137.0</v>
      </c>
    </row>
    <row r="102">
      <c r="A102" s="6" t="s">
        <v>90</v>
      </c>
      <c r="B102" s="6" t="s">
        <v>45</v>
      </c>
      <c r="C102" s="6">
        <v>750.0</v>
      </c>
      <c r="D102" s="6">
        <v>2132.0</v>
      </c>
      <c r="E102" s="6">
        <v>146.0</v>
      </c>
      <c r="F102" s="6">
        <v>226.0</v>
      </c>
      <c r="G102" s="6">
        <v>3.32</v>
      </c>
      <c r="H102" s="6">
        <v>2132.0</v>
      </c>
      <c r="I102" s="6">
        <v>0.0</v>
      </c>
      <c r="J102" s="6">
        <v>1.0</v>
      </c>
      <c r="K102" s="6">
        <v>17.0</v>
      </c>
      <c r="L102" s="6">
        <v>208.0</v>
      </c>
    </row>
    <row r="103">
      <c r="A103" s="6" t="s">
        <v>127</v>
      </c>
      <c r="B103" s="6" t="s">
        <v>45</v>
      </c>
      <c r="C103" s="6">
        <v>750.0</v>
      </c>
      <c r="D103" s="6">
        <v>1934.0</v>
      </c>
      <c r="E103" s="6">
        <v>145.5</v>
      </c>
      <c r="F103" s="6">
        <v>229.0</v>
      </c>
      <c r="G103" s="6">
        <v>3.28</v>
      </c>
      <c r="H103" s="6">
        <v>1934.0</v>
      </c>
      <c r="I103" s="6">
        <v>0.0</v>
      </c>
      <c r="J103" s="6">
        <v>1.0</v>
      </c>
      <c r="K103" s="6">
        <v>23.0</v>
      </c>
      <c r="L103" s="6">
        <v>205.0</v>
      </c>
    </row>
    <row r="104">
      <c r="A104" s="6" t="s">
        <v>81</v>
      </c>
      <c r="B104" s="6" t="s">
        <v>45</v>
      </c>
      <c r="C104" s="6">
        <v>750.0</v>
      </c>
      <c r="D104" s="6">
        <v>2123.0</v>
      </c>
      <c r="E104" s="6">
        <v>145.3</v>
      </c>
      <c r="F104" s="6">
        <v>223.0</v>
      </c>
      <c r="G104" s="6">
        <v>3.36</v>
      </c>
      <c r="H104" s="6">
        <v>2123.0</v>
      </c>
      <c r="I104" s="6">
        <v>0.0</v>
      </c>
      <c r="J104" s="6">
        <v>0.0</v>
      </c>
      <c r="K104" s="6">
        <v>16.0</v>
      </c>
      <c r="L104" s="6">
        <v>207.0</v>
      </c>
    </row>
    <row r="105">
      <c r="A105" s="6" t="s">
        <v>154</v>
      </c>
      <c r="B105" s="6" t="s">
        <v>45</v>
      </c>
      <c r="C105" s="6">
        <v>750.0</v>
      </c>
      <c r="D105" s="6">
        <v>2149.0</v>
      </c>
      <c r="E105" s="6">
        <v>145.6</v>
      </c>
      <c r="F105" s="6">
        <v>223.0</v>
      </c>
      <c r="G105" s="6">
        <v>3.36</v>
      </c>
      <c r="H105" s="6">
        <v>2149.0</v>
      </c>
      <c r="I105" s="6">
        <v>0.0</v>
      </c>
      <c r="J105" s="6">
        <v>0.0</v>
      </c>
      <c r="K105" s="6">
        <v>12.0</v>
      </c>
      <c r="L105" s="6">
        <v>211.0</v>
      </c>
    </row>
    <row r="106">
      <c r="A106" s="6" t="s">
        <v>129</v>
      </c>
      <c r="B106" s="6" t="s">
        <v>45</v>
      </c>
      <c r="C106" s="6">
        <v>750.0</v>
      </c>
      <c r="D106" s="6">
        <v>2124.0</v>
      </c>
      <c r="E106" s="6">
        <v>146.9</v>
      </c>
      <c r="F106" s="6">
        <v>225.0</v>
      </c>
      <c r="G106" s="6">
        <v>3.33</v>
      </c>
      <c r="H106" s="6">
        <v>2124.0</v>
      </c>
      <c r="I106" s="6">
        <v>0.0</v>
      </c>
      <c r="J106" s="6">
        <v>0.0</v>
      </c>
      <c r="K106" s="6">
        <v>16.0</v>
      </c>
      <c r="L106" s="6">
        <v>209.0</v>
      </c>
    </row>
    <row r="107">
      <c r="A107" s="6" t="s">
        <v>83</v>
      </c>
      <c r="B107" s="6" t="s">
        <v>45</v>
      </c>
      <c r="C107" s="6">
        <v>1000.0</v>
      </c>
      <c r="D107" s="6">
        <v>2705.0</v>
      </c>
      <c r="E107" s="6">
        <v>275.1</v>
      </c>
      <c r="F107" s="6">
        <v>304.0</v>
      </c>
      <c r="G107" s="6">
        <v>3.29</v>
      </c>
      <c r="H107" s="6">
        <v>2705.0</v>
      </c>
      <c r="I107" s="6">
        <v>0.0</v>
      </c>
      <c r="J107" s="6">
        <v>0.0</v>
      </c>
      <c r="K107" s="6">
        <v>22.0</v>
      </c>
      <c r="L107" s="6">
        <v>282.0</v>
      </c>
    </row>
    <row r="108">
      <c r="A108" s="6" t="s">
        <v>144</v>
      </c>
      <c r="B108" s="6" t="s">
        <v>45</v>
      </c>
      <c r="C108" s="6">
        <v>1000.0</v>
      </c>
      <c r="D108" s="6">
        <v>2750.0</v>
      </c>
      <c r="E108" s="6">
        <v>274.6</v>
      </c>
      <c r="F108" s="6">
        <v>302.0</v>
      </c>
      <c r="G108" s="6">
        <v>3.31</v>
      </c>
      <c r="H108" s="6">
        <v>2750.0</v>
      </c>
      <c r="I108" s="6">
        <v>0.0</v>
      </c>
      <c r="J108" s="6">
        <v>1.0</v>
      </c>
      <c r="K108" s="6">
        <v>11.0</v>
      </c>
      <c r="L108" s="6">
        <v>290.0</v>
      </c>
    </row>
    <row r="109">
      <c r="A109" s="6" t="s">
        <v>63</v>
      </c>
      <c r="B109" s="6" t="s">
        <v>45</v>
      </c>
      <c r="C109" s="6">
        <v>1000.0</v>
      </c>
      <c r="D109" s="6">
        <v>2715.0</v>
      </c>
      <c r="E109" s="6">
        <v>279.3</v>
      </c>
      <c r="F109" s="6">
        <v>305.0</v>
      </c>
      <c r="G109" s="6">
        <v>3.28</v>
      </c>
      <c r="H109" s="6">
        <v>2715.0</v>
      </c>
      <c r="I109" s="6">
        <v>0.0</v>
      </c>
      <c r="J109" s="6">
        <v>1.0</v>
      </c>
      <c r="K109" s="6">
        <v>23.0</v>
      </c>
      <c r="L109" s="6">
        <v>281.0</v>
      </c>
    </row>
    <row r="110">
      <c r="A110" s="6" t="s">
        <v>79</v>
      </c>
      <c r="B110" s="6" t="s">
        <v>45</v>
      </c>
      <c r="C110" s="6">
        <v>1000.0</v>
      </c>
      <c r="D110" s="6">
        <v>2725.0</v>
      </c>
      <c r="E110" s="6">
        <v>273.6</v>
      </c>
      <c r="F110" s="6">
        <v>305.0</v>
      </c>
      <c r="G110" s="6">
        <v>3.28</v>
      </c>
      <c r="H110" s="6">
        <v>2725.0</v>
      </c>
      <c r="I110" s="6">
        <v>0.0</v>
      </c>
      <c r="J110" s="6">
        <v>0.0</v>
      </c>
      <c r="K110" s="6">
        <v>17.0</v>
      </c>
      <c r="L110" s="6">
        <v>288.0</v>
      </c>
    </row>
    <row r="111">
      <c r="A111" s="6" t="s">
        <v>64</v>
      </c>
      <c r="B111" s="6" t="s">
        <v>45</v>
      </c>
      <c r="C111" s="6">
        <v>1000.0</v>
      </c>
      <c r="D111" s="6">
        <v>2712.0</v>
      </c>
      <c r="E111" s="6">
        <v>271.4</v>
      </c>
      <c r="F111" s="6">
        <v>300.0</v>
      </c>
      <c r="G111" s="6">
        <v>3.33</v>
      </c>
      <c r="H111" s="6">
        <v>2712.0</v>
      </c>
      <c r="I111" s="6">
        <v>0.0</v>
      </c>
      <c r="J111" s="6">
        <v>0.0</v>
      </c>
      <c r="K111" s="6">
        <v>16.0</v>
      </c>
      <c r="L111" s="6">
        <v>284.0</v>
      </c>
    </row>
  </sheetData>
  <autoFilter ref="$A$1:$L$11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63"/>
    <col customWidth="1" min="3" max="3" width="18.25"/>
    <col customWidth="1" min="4" max="4" width="12.63"/>
    <col customWidth="1" min="6" max="6" width="19.75"/>
    <col customWidth="1" min="7" max="7" width="15.63"/>
    <col customWidth="1" min="8" max="8" width="16.88"/>
    <col customWidth="1" min="9" max="9" width="20.25"/>
  </cols>
  <sheetData>
    <row r="1">
      <c r="A1" s="6" t="s">
        <v>38</v>
      </c>
      <c r="B1" s="6" t="s">
        <v>39</v>
      </c>
      <c r="C1" s="6" t="s">
        <v>40</v>
      </c>
      <c r="D1" s="6" t="s">
        <v>155</v>
      </c>
      <c r="E1" s="6" t="s">
        <v>156</v>
      </c>
      <c r="F1" s="6" t="s">
        <v>157</v>
      </c>
      <c r="G1" s="6" t="s">
        <v>158</v>
      </c>
      <c r="H1" s="6" t="s">
        <v>159</v>
      </c>
      <c r="I1" s="6" t="s">
        <v>160</v>
      </c>
      <c r="J1" s="6" t="s">
        <v>161</v>
      </c>
      <c r="K1" s="6" t="s">
        <v>162</v>
      </c>
      <c r="L1" s="6" t="s">
        <v>163</v>
      </c>
    </row>
    <row r="2">
      <c r="A2" s="6" t="s">
        <v>93</v>
      </c>
      <c r="B2" s="6" t="s">
        <v>53</v>
      </c>
      <c r="C2" s="6">
        <v>10.0</v>
      </c>
      <c r="D2" s="6">
        <v>185.0</v>
      </c>
      <c r="E2" s="6">
        <v>0.0</v>
      </c>
      <c r="F2" s="6">
        <v>3.0</v>
      </c>
      <c r="G2" s="6">
        <v>3.33</v>
      </c>
      <c r="H2" s="6">
        <v>70.0</v>
      </c>
      <c r="I2" s="6">
        <v>0.0</v>
      </c>
      <c r="J2" s="6">
        <v>1.0</v>
      </c>
      <c r="K2" s="6">
        <v>1.0</v>
      </c>
      <c r="L2" s="6">
        <v>1.0</v>
      </c>
    </row>
    <row r="3">
      <c r="A3" s="6" t="s">
        <v>36</v>
      </c>
      <c r="B3" s="6" t="s">
        <v>53</v>
      </c>
      <c r="C3" s="6">
        <v>10.0</v>
      </c>
      <c r="D3" s="6">
        <v>159.0</v>
      </c>
      <c r="E3" s="6">
        <v>0.0</v>
      </c>
      <c r="F3" s="6">
        <v>3.0</v>
      </c>
      <c r="G3" s="6">
        <v>3.33</v>
      </c>
      <c r="H3" s="6">
        <v>119.0</v>
      </c>
      <c r="I3" s="6">
        <v>0.0</v>
      </c>
      <c r="J3" s="6">
        <v>2.0</v>
      </c>
      <c r="K3" s="6">
        <v>1.0</v>
      </c>
      <c r="L3" s="6">
        <v>0.0</v>
      </c>
    </row>
    <row r="4">
      <c r="A4" s="6" t="s">
        <v>55</v>
      </c>
      <c r="B4" s="6" t="s">
        <v>53</v>
      </c>
      <c r="C4" s="6">
        <v>15.0</v>
      </c>
      <c r="D4" s="6">
        <v>378.0</v>
      </c>
      <c r="E4" s="6">
        <v>0.1</v>
      </c>
      <c r="F4" s="6">
        <v>5.0</v>
      </c>
      <c r="G4" s="6">
        <v>3.0</v>
      </c>
      <c r="H4" s="6">
        <v>158.0</v>
      </c>
      <c r="I4" s="6">
        <v>0.0</v>
      </c>
      <c r="J4" s="6">
        <v>3.0</v>
      </c>
      <c r="K4" s="6">
        <v>2.0</v>
      </c>
      <c r="L4" s="6">
        <v>0.0</v>
      </c>
    </row>
    <row r="5">
      <c r="A5" s="6" t="s">
        <v>141</v>
      </c>
      <c r="B5" s="6" t="s">
        <v>53</v>
      </c>
      <c r="C5" s="6">
        <v>15.0</v>
      </c>
      <c r="D5" s="6">
        <v>247.0</v>
      </c>
      <c r="E5" s="6">
        <v>0.1</v>
      </c>
      <c r="F5" s="6">
        <v>4.0</v>
      </c>
      <c r="G5" s="6">
        <v>3.75</v>
      </c>
      <c r="H5" s="6">
        <v>107.0</v>
      </c>
      <c r="I5" s="6">
        <v>0.0</v>
      </c>
      <c r="J5" s="6">
        <v>2.0</v>
      </c>
      <c r="K5" s="6">
        <v>1.0</v>
      </c>
      <c r="L5" s="6">
        <v>1.0</v>
      </c>
    </row>
    <row r="6">
      <c r="A6" s="6" t="s">
        <v>109</v>
      </c>
      <c r="B6" s="6" t="s">
        <v>53</v>
      </c>
      <c r="C6" s="6">
        <v>20.0</v>
      </c>
      <c r="D6" s="6">
        <v>419.0</v>
      </c>
      <c r="E6" s="6">
        <v>0.1</v>
      </c>
      <c r="F6" s="6">
        <v>6.0</v>
      </c>
      <c r="G6" s="6">
        <v>3.33</v>
      </c>
      <c r="H6" s="6">
        <v>179.0</v>
      </c>
      <c r="I6" s="6">
        <v>0.0</v>
      </c>
      <c r="J6" s="6">
        <v>2.0</v>
      </c>
      <c r="K6" s="6">
        <v>2.0</v>
      </c>
      <c r="L6" s="6">
        <v>2.0</v>
      </c>
    </row>
    <row r="7">
      <c r="A7" s="6" t="s">
        <v>85</v>
      </c>
      <c r="B7" s="6" t="s">
        <v>53</v>
      </c>
      <c r="C7" s="6">
        <v>20.0</v>
      </c>
      <c r="D7" s="6">
        <v>363.0</v>
      </c>
      <c r="E7" s="6">
        <v>0.1</v>
      </c>
      <c r="F7" s="6">
        <v>7.0</v>
      </c>
      <c r="G7" s="6">
        <v>2.86</v>
      </c>
      <c r="H7" s="6">
        <v>168.0</v>
      </c>
      <c r="I7" s="6">
        <v>0.0</v>
      </c>
      <c r="J7" s="6">
        <v>4.0</v>
      </c>
      <c r="K7" s="6">
        <v>3.0</v>
      </c>
      <c r="L7" s="6">
        <v>0.0</v>
      </c>
    </row>
    <row r="8">
      <c r="A8" s="6" t="s">
        <v>105</v>
      </c>
      <c r="B8" s="6" t="s">
        <v>53</v>
      </c>
      <c r="C8" s="6">
        <v>25.0</v>
      </c>
      <c r="D8" s="6">
        <v>467.0</v>
      </c>
      <c r="E8" s="6">
        <v>0.2</v>
      </c>
      <c r="F8" s="6">
        <v>10.0</v>
      </c>
      <c r="G8" s="6">
        <v>2.5</v>
      </c>
      <c r="H8" s="6">
        <v>217.0</v>
      </c>
      <c r="I8" s="6">
        <v>0.0</v>
      </c>
      <c r="J8" s="6">
        <v>7.0</v>
      </c>
      <c r="K8" s="6">
        <v>2.0</v>
      </c>
      <c r="L8" s="6">
        <v>1.0</v>
      </c>
    </row>
    <row r="9">
      <c r="A9" s="6" t="s">
        <v>126</v>
      </c>
      <c r="B9" s="6" t="s">
        <v>53</v>
      </c>
      <c r="C9" s="6">
        <v>30.0</v>
      </c>
      <c r="D9" s="6">
        <v>513.0</v>
      </c>
      <c r="E9" s="6">
        <v>0.2</v>
      </c>
      <c r="F9" s="6">
        <v>10.0</v>
      </c>
      <c r="G9" s="6">
        <v>3.0</v>
      </c>
      <c r="H9" s="6">
        <v>283.0</v>
      </c>
      <c r="I9" s="6">
        <v>0.0</v>
      </c>
      <c r="J9" s="6">
        <v>6.0</v>
      </c>
      <c r="K9" s="6">
        <v>3.0</v>
      </c>
      <c r="L9" s="6">
        <v>1.0</v>
      </c>
    </row>
    <row r="10">
      <c r="A10" s="6" t="s">
        <v>65</v>
      </c>
      <c r="B10" s="6" t="s">
        <v>53</v>
      </c>
      <c r="C10" s="6">
        <v>30.0</v>
      </c>
      <c r="D10" s="6">
        <v>757.0</v>
      </c>
      <c r="E10" s="6">
        <v>0.2</v>
      </c>
      <c r="F10" s="6">
        <v>10.0</v>
      </c>
      <c r="G10" s="6">
        <v>3.0</v>
      </c>
      <c r="H10" s="6">
        <v>232.0</v>
      </c>
      <c r="I10" s="6">
        <v>0.0</v>
      </c>
      <c r="J10" s="6">
        <v>5.0</v>
      </c>
      <c r="K10" s="6">
        <v>3.0</v>
      </c>
      <c r="L10" s="6">
        <v>2.0</v>
      </c>
    </row>
    <row r="11">
      <c r="A11" s="6" t="s">
        <v>114</v>
      </c>
      <c r="B11" s="6" t="s">
        <v>53</v>
      </c>
      <c r="C11" s="6">
        <v>40.0</v>
      </c>
      <c r="D11" s="6">
        <v>881.0</v>
      </c>
      <c r="E11" s="6">
        <v>0.4</v>
      </c>
      <c r="F11" s="6">
        <v>13.0</v>
      </c>
      <c r="G11" s="6">
        <v>3.08</v>
      </c>
      <c r="H11" s="6">
        <v>256.0</v>
      </c>
      <c r="I11" s="6">
        <v>0.0</v>
      </c>
      <c r="J11" s="6">
        <v>6.0</v>
      </c>
      <c r="K11" s="6">
        <v>4.0</v>
      </c>
      <c r="L11" s="6">
        <v>3.0</v>
      </c>
    </row>
    <row r="12">
      <c r="A12" s="6" t="s">
        <v>69</v>
      </c>
      <c r="B12" s="6" t="s">
        <v>53</v>
      </c>
      <c r="C12" s="6">
        <v>50.0</v>
      </c>
      <c r="D12" s="6">
        <v>1105.0</v>
      </c>
      <c r="E12" s="6">
        <v>0.6</v>
      </c>
      <c r="F12" s="6">
        <v>16.0</v>
      </c>
      <c r="G12" s="6">
        <v>3.13</v>
      </c>
      <c r="H12" s="6">
        <v>445.0</v>
      </c>
      <c r="I12" s="6">
        <v>0.0</v>
      </c>
      <c r="J12" s="6">
        <v>8.0</v>
      </c>
      <c r="K12" s="6">
        <v>5.0</v>
      </c>
      <c r="L12" s="6">
        <v>3.0</v>
      </c>
    </row>
    <row r="13">
      <c r="A13" s="6" t="s">
        <v>150</v>
      </c>
      <c r="B13" s="6" t="s">
        <v>53</v>
      </c>
      <c r="C13" s="6">
        <v>50.0</v>
      </c>
      <c r="D13" s="6">
        <v>1302.0</v>
      </c>
      <c r="E13" s="6">
        <v>0.5</v>
      </c>
      <c r="F13" s="6">
        <v>14.0</v>
      </c>
      <c r="G13" s="6">
        <v>3.57</v>
      </c>
      <c r="H13" s="6">
        <v>452.0</v>
      </c>
      <c r="I13" s="6">
        <v>0.0</v>
      </c>
      <c r="J13" s="6">
        <v>6.0</v>
      </c>
      <c r="K13" s="6">
        <v>4.0</v>
      </c>
      <c r="L13" s="6">
        <v>4.0</v>
      </c>
    </row>
    <row r="14">
      <c r="A14" s="6" t="s">
        <v>123</v>
      </c>
      <c r="B14" s="6" t="s">
        <v>53</v>
      </c>
      <c r="C14" s="6">
        <v>75.0</v>
      </c>
      <c r="D14" s="6">
        <v>1327.0</v>
      </c>
      <c r="E14" s="6">
        <v>1.3</v>
      </c>
      <c r="F14" s="6">
        <v>24.0</v>
      </c>
      <c r="G14" s="6">
        <v>3.13</v>
      </c>
      <c r="H14" s="6">
        <v>592.0</v>
      </c>
      <c r="I14" s="6">
        <v>0.0</v>
      </c>
      <c r="J14" s="6">
        <v>11.0</v>
      </c>
      <c r="K14" s="6">
        <v>6.0</v>
      </c>
      <c r="L14" s="6">
        <v>7.0</v>
      </c>
    </row>
    <row r="15">
      <c r="A15" s="6" t="s">
        <v>61</v>
      </c>
      <c r="B15" s="6" t="s">
        <v>53</v>
      </c>
      <c r="C15" s="6">
        <v>100.0</v>
      </c>
      <c r="D15" s="6">
        <v>1196.0</v>
      </c>
      <c r="E15" s="6">
        <v>2.3</v>
      </c>
      <c r="F15" s="6">
        <v>32.0</v>
      </c>
      <c r="G15" s="6">
        <v>3.13</v>
      </c>
      <c r="H15" s="6">
        <v>841.0</v>
      </c>
      <c r="I15" s="6">
        <v>0.0</v>
      </c>
      <c r="J15" s="6">
        <v>21.0</v>
      </c>
      <c r="K15" s="6">
        <v>6.0</v>
      </c>
      <c r="L15" s="6">
        <v>5.0</v>
      </c>
    </row>
    <row r="16">
      <c r="A16" s="6" t="s">
        <v>100</v>
      </c>
      <c r="B16" s="6" t="s">
        <v>53</v>
      </c>
      <c r="C16" s="6">
        <v>100.0</v>
      </c>
      <c r="D16" s="6">
        <v>1612.0</v>
      </c>
      <c r="E16" s="6">
        <v>2.2</v>
      </c>
      <c r="F16" s="6">
        <v>32.0</v>
      </c>
      <c r="G16" s="6">
        <v>3.13</v>
      </c>
      <c r="H16" s="6">
        <v>742.0</v>
      </c>
      <c r="I16" s="6">
        <v>0.0</v>
      </c>
      <c r="J16" s="6">
        <v>17.0</v>
      </c>
      <c r="K16" s="6">
        <v>8.0</v>
      </c>
      <c r="L16" s="6">
        <v>7.0</v>
      </c>
    </row>
    <row r="17">
      <c r="A17" s="6" t="s">
        <v>94</v>
      </c>
      <c r="B17" s="6" t="s">
        <v>53</v>
      </c>
      <c r="C17" s="6">
        <v>150.0</v>
      </c>
      <c r="D17" s="6">
        <v>1809.0</v>
      </c>
      <c r="E17" s="6">
        <v>5.0</v>
      </c>
      <c r="F17" s="6">
        <v>47.0</v>
      </c>
      <c r="G17" s="6">
        <v>3.19</v>
      </c>
      <c r="H17" s="6">
        <v>1329.0</v>
      </c>
      <c r="I17" s="6">
        <v>0.0</v>
      </c>
      <c r="J17" s="6">
        <v>30.0</v>
      </c>
      <c r="K17" s="6">
        <v>9.0</v>
      </c>
      <c r="L17" s="6">
        <v>8.0</v>
      </c>
    </row>
    <row r="18">
      <c r="A18" s="6" t="s">
        <v>132</v>
      </c>
      <c r="B18" s="6" t="s">
        <v>53</v>
      </c>
      <c r="C18" s="6">
        <v>208.0</v>
      </c>
      <c r="D18" s="6">
        <v>2197.0</v>
      </c>
      <c r="E18" s="6">
        <v>9.3</v>
      </c>
      <c r="F18" s="6">
        <v>63.0</v>
      </c>
      <c r="G18" s="6">
        <v>3.3</v>
      </c>
      <c r="H18" s="6">
        <v>1737.0</v>
      </c>
      <c r="I18" s="6">
        <v>1.0</v>
      </c>
      <c r="J18" s="6">
        <v>38.0</v>
      </c>
      <c r="K18" s="6">
        <v>8.0</v>
      </c>
      <c r="L18" s="6">
        <v>17.0</v>
      </c>
    </row>
    <row r="19">
      <c r="A19" s="6" t="s">
        <v>110</v>
      </c>
      <c r="B19" s="6" t="s">
        <v>53</v>
      </c>
      <c r="C19" s="6">
        <v>208.0</v>
      </c>
      <c r="D19" s="6">
        <v>2711.0</v>
      </c>
      <c r="E19" s="6">
        <v>9.3</v>
      </c>
      <c r="F19" s="6">
        <v>62.0</v>
      </c>
      <c r="G19" s="6">
        <v>3.35</v>
      </c>
      <c r="H19" s="6">
        <v>1646.0</v>
      </c>
      <c r="I19" s="6">
        <v>0.0</v>
      </c>
      <c r="J19" s="6">
        <v>28.0</v>
      </c>
      <c r="K19" s="6">
        <v>10.0</v>
      </c>
      <c r="L19" s="6">
        <v>24.0</v>
      </c>
    </row>
    <row r="20">
      <c r="A20" s="6" t="s">
        <v>52</v>
      </c>
      <c r="B20" s="6" t="s">
        <v>53</v>
      </c>
      <c r="C20" s="6">
        <v>300.0</v>
      </c>
      <c r="D20" s="6">
        <v>2934.0</v>
      </c>
      <c r="E20" s="6">
        <v>20.9</v>
      </c>
      <c r="F20" s="6">
        <v>100.0</v>
      </c>
      <c r="G20" s="6">
        <v>3.0</v>
      </c>
      <c r="H20" s="6">
        <v>2124.0</v>
      </c>
      <c r="I20" s="6">
        <v>0.0</v>
      </c>
      <c r="J20" s="6">
        <v>53.0</v>
      </c>
      <c r="K20" s="6">
        <v>22.0</v>
      </c>
      <c r="L20" s="6">
        <v>25.0</v>
      </c>
    </row>
    <row r="21">
      <c r="A21" s="6" t="s">
        <v>86</v>
      </c>
      <c r="B21" s="6" t="s">
        <v>53</v>
      </c>
      <c r="C21" s="6">
        <v>500.0</v>
      </c>
      <c r="D21" s="6">
        <v>4028.0</v>
      </c>
      <c r="E21" s="6">
        <v>64.0</v>
      </c>
      <c r="F21" s="6">
        <v>167.0</v>
      </c>
      <c r="G21" s="6">
        <v>2.99</v>
      </c>
      <c r="H21" s="6">
        <v>3243.0</v>
      </c>
      <c r="I21" s="6">
        <v>0.0</v>
      </c>
      <c r="J21" s="6">
        <v>88.0</v>
      </c>
      <c r="K21" s="6">
        <v>30.0</v>
      </c>
      <c r="L21" s="6">
        <v>49.0</v>
      </c>
    </row>
    <row r="22">
      <c r="A22" s="6" t="s">
        <v>125</v>
      </c>
      <c r="B22" s="6" t="s">
        <v>45</v>
      </c>
      <c r="C22" s="6">
        <v>10.0</v>
      </c>
      <c r="D22" s="6">
        <v>13.0</v>
      </c>
      <c r="E22" s="6">
        <v>0.0</v>
      </c>
      <c r="F22" s="6">
        <v>4.0</v>
      </c>
      <c r="G22" s="6">
        <v>2.5</v>
      </c>
      <c r="H22" s="6">
        <v>13.0</v>
      </c>
      <c r="I22" s="6">
        <v>0.0</v>
      </c>
      <c r="J22" s="6">
        <v>0.0</v>
      </c>
      <c r="K22" s="6">
        <v>0.0</v>
      </c>
      <c r="L22" s="6">
        <v>4.0</v>
      </c>
    </row>
    <row r="23">
      <c r="A23" s="6" t="s">
        <v>111</v>
      </c>
      <c r="B23" s="6" t="s">
        <v>45</v>
      </c>
      <c r="C23" s="6">
        <v>10.0</v>
      </c>
      <c r="D23" s="6">
        <v>12.0</v>
      </c>
      <c r="E23" s="6">
        <v>0.0</v>
      </c>
      <c r="F23" s="6">
        <v>4.0</v>
      </c>
      <c r="G23" s="6">
        <v>2.5</v>
      </c>
      <c r="H23" s="6">
        <v>12.0</v>
      </c>
      <c r="I23" s="6">
        <v>0.0</v>
      </c>
      <c r="J23" s="6">
        <v>0.0</v>
      </c>
      <c r="K23" s="6">
        <v>1.0</v>
      </c>
      <c r="L23" s="6">
        <v>3.0</v>
      </c>
    </row>
    <row r="24">
      <c r="A24" s="6" t="s">
        <v>133</v>
      </c>
      <c r="B24" s="6" t="s">
        <v>45</v>
      </c>
      <c r="C24" s="6">
        <v>10.0</v>
      </c>
      <c r="D24" s="6">
        <v>13.0</v>
      </c>
      <c r="E24" s="6">
        <v>0.0</v>
      </c>
      <c r="F24" s="6">
        <v>4.0</v>
      </c>
      <c r="G24" s="6">
        <v>2.5</v>
      </c>
      <c r="H24" s="6">
        <v>13.0</v>
      </c>
      <c r="I24" s="6">
        <v>0.0</v>
      </c>
      <c r="J24" s="6">
        <v>0.0</v>
      </c>
      <c r="K24" s="6">
        <v>0.0</v>
      </c>
      <c r="L24" s="6">
        <v>4.0</v>
      </c>
    </row>
    <row r="25">
      <c r="A25" s="6" t="s">
        <v>124</v>
      </c>
      <c r="B25" s="6" t="s">
        <v>45</v>
      </c>
      <c r="C25" s="6">
        <v>10.0</v>
      </c>
      <c r="D25" s="6">
        <v>13.0</v>
      </c>
      <c r="E25" s="6">
        <v>0.0</v>
      </c>
      <c r="F25" s="6">
        <v>4.0</v>
      </c>
      <c r="G25" s="6">
        <v>2.5</v>
      </c>
      <c r="H25" s="6">
        <v>13.0</v>
      </c>
      <c r="I25" s="6">
        <v>0.0</v>
      </c>
      <c r="J25" s="6">
        <v>0.0</v>
      </c>
      <c r="K25" s="6">
        <v>1.0</v>
      </c>
      <c r="L25" s="6">
        <v>3.0</v>
      </c>
    </row>
    <row r="26">
      <c r="A26" s="6" t="s">
        <v>49</v>
      </c>
      <c r="B26" s="6" t="s">
        <v>45</v>
      </c>
      <c r="C26" s="6">
        <v>10.0</v>
      </c>
      <c r="D26" s="6">
        <v>20.0</v>
      </c>
      <c r="E26" s="6">
        <v>0.0</v>
      </c>
      <c r="F26" s="6">
        <v>4.0</v>
      </c>
      <c r="G26" s="6">
        <v>2.5</v>
      </c>
      <c r="H26" s="6">
        <v>20.0</v>
      </c>
      <c r="I26" s="6">
        <v>0.0</v>
      </c>
      <c r="J26" s="6">
        <v>0.0</v>
      </c>
      <c r="K26" s="6">
        <v>0.0</v>
      </c>
      <c r="L26" s="6">
        <v>4.0</v>
      </c>
    </row>
    <row r="27">
      <c r="A27" s="6" t="s">
        <v>130</v>
      </c>
      <c r="B27" s="6" t="s">
        <v>45</v>
      </c>
      <c r="C27" s="6">
        <v>15.0</v>
      </c>
      <c r="D27" s="6">
        <v>20.0</v>
      </c>
      <c r="E27" s="6">
        <v>0.1</v>
      </c>
      <c r="F27" s="6">
        <v>5.0</v>
      </c>
      <c r="G27" s="6">
        <v>3.0</v>
      </c>
      <c r="H27" s="6">
        <v>20.0</v>
      </c>
      <c r="I27" s="6">
        <v>0.0</v>
      </c>
      <c r="J27" s="6">
        <v>0.0</v>
      </c>
      <c r="K27" s="6">
        <v>1.0</v>
      </c>
      <c r="L27" s="6">
        <v>4.0</v>
      </c>
    </row>
    <row r="28">
      <c r="A28" s="6" t="s">
        <v>140</v>
      </c>
      <c r="B28" s="6" t="s">
        <v>45</v>
      </c>
      <c r="C28" s="6">
        <v>15.0</v>
      </c>
      <c r="D28" s="6">
        <v>18.0</v>
      </c>
      <c r="E28" s="6">
        <v>0.1</v>
      </c>
      <c r="F28" s="6">
        <v>5.0</v>
      </c>
      <c r="G28" s="6">
        <v>3.0</v>
      </c>
      <c r="H28" s="6">
        <v>18.0</v>
      </c>
      <c r="I28" s="6">
        <v>0.0</v>
      </c>
      <c r="J28" s="6">
        <v>0.0</v>
      </c>
      <c r="K28" s="6">
        <v>0.0</v>
      </c>
      <c r="L28" s="6">
        <v>5.0</v>
      </c>
    </row>
    <row r="29">
      <c r="A29" s="6" t="s">
        <v>60</v>
      </c>
      <c r="B29" s="6" t="s">
        <v>45</v>
      </c>
      <c r="C29" s="6">
        <v>15.0</v>
      </c>
      <c r="D29" s="6">
        <v>19.0</v>
      </c>
      <c r="E29" s="6">
        <v>0.1</v>
      </c>
      <c r="F29" s="6">
        <v>5.0</v>
      </c>
      <c r="G29" s="6">
        <v>3.0</v>
      </c>
      <c r="H29" s="6">
        <v>19.0</v>
      </c>
      <c r="I29" s="6">
        <v>0.0</v>
      </c>
      <c r="J29" s="6">
        <v>0.0</v>
      </c>
      <c r="K29" s="6">
        <v>0.0</v>
      </c>
      <c r="L29" s="6">
        <v>5.0</v>
      </c>
    </row>
    <row r="30">
      <c r="A30" s="6" t="s">
        <v>59</v>
      </c>
      <c r="B30" s="6" t="s">
        <v>45</v>
      </c>
      <c r="C30" s="6">
        <v>15.0</v>
      </c>
      <c r="D30" s="6">
        <v>23.0</v>
      </c>
      <c r="E30" s="6">
        <v>0.1</v>
      </c>
      <c r="F30" s="6">
        <v>5.0</v>
      </c>
      <c r="G30" s="6">
        <v>3.0</v>
      </c>
      <c r="H30" s="6">
        <v>23.0</v>
      </c>
      <c r="I30" s="6">
        <v>0.0</v>
      </c>
      <c r="J30" s="6">
        <v>0.0</v>
      </c>
      <c r="K30" s="6">
        <v>0.0</v>
      </c>
      <c r="L30" s="6">
        <v>5.0</v>
      </c>
    </row>
    <row r="31">
      <c r="A31" s="6" t="s">
        <v>50</v>
      </c>
      <c r="B31" s="6" t="s">
        <v>45</v>
      </c>
      <c r="C31" s="6">
        <v>15.0</v>
      </c>
      <c r="D31" s="6">
        <v>22.0</v>
      </c>
      <c r="E31" s="6">
        <v>0.1</v>
      </c>
      <c r="F31" s="6">
        <v>5.0</v>
      </c>
      <c r="G31" s="6">
        <v>3.0</v>
      </c>
      <c r="H31" s="6">
        <v>22.0</v>
      </c>
      <c r="I31" s="6">
        <v>0.0</v>
      </c>
      <c r="J31" s="6">
        <v>0.0</v>
      </c>
      <c r="K31" s="6">
        <v>0.0</v>
      </c>
      <c r="L31" s="6">
        <v>5.0</v>
      </c>
    </row>
    <row r="32">
      <c r="A32" s="6" t="s">
        <v>95</v>
      </c>
      <c r="B32" s="6" t="s">
        <v>45</v>
      </c>
      <c r="C32" s="6">
        <v>20.0</v>
      </c>
      <c r="D32" s="6">
        <v>34.0</v>
      </c>
      <c r="E32" s="6">
        <v>0.1</v>
      </c>
      <c r="F32" s="6">
        <v>6.0</v>
      </c>
      <c r="G32" s="6">
        <v>3.33</v>
      </c>
      <c r="H32" s="6">
        <v>34.0</v>
      </c>
      <c r="I32" s="6">
        <v>0.0</v>
      </c>
      <c r="J32" s="6">
        <v>0.0</v>
      </c>
      <c r="K32" s="6">
        <v>0.0</v>
      </c>
      <c r="L32" s="6">
        <v>6.0</v>
      </c>
    </row>
    <row r="33">
      <c r="A33" s="6" t="s">
        <v>73</v>
      </c>
      <c r="B33" s="6" t="s">
        <v>45</v>
      </c>
      <c r="C33" s="6">
        <v>20.0</v>
      </c>
      <c r="D33" s="6">
        <v>31.0</v>
      </c>
      <c r="E33" s="6">
        <v>0.1</v>
      </c>
      <c r="F33" s="6">
        <v>6.0</v>
      </c>
      <c r="G33" s="6">
        <v>3.33</v>
      </c>
      <c r="H33" s="6">
        <v>31.0</v>
      </c>
      <c r="I33" s="6">
        <v>0.0</v>
      </c>
      <c r="J33" s="6">
        <v>0.0</v>
      </c>
      <c r="K33" s="6">
        <v>0.0</v>
      </c>
      <c r="L33" s="6">
        <v>6.0</v>
      </c>
    </row>
    <row r="34">
      <c r="A34" s="6" t="s">
        <v>46</v>
      </c>
      <c r="B34" s="6" t="s">
        <v>45</v>
      </c>
      <c r="C34" s="6">
        <v>20.0</v>
      </c>
      <c r="D34" s="6">
        <v>25.0</v>
      </c>
      <c r="E34" s="6">
        <v>0.1</v>
      </c>
      <c r="F34" s="6">
        <v>6.0</v>
      </c>
      <c r="G34" s="6">
        <v>3.33</v>
      </c>
      <c r="H34" s="6">
        <v>25.0</v>
      </c>
      <c r="I34" s="6">
        <v>0.0</v>
      </c>
      <c r="J34" s="6">
        <v>0.0</v>
      </c>
      <c r="K34" s="6">
        <v>0.0</v>
      </c>
      <c r="L34" s="6">
        <v>6.0</v>
      </c>
    </row>
    <row r="35">
      <c r="A35" s="6" t="s">
        <v>103</v>
      </c>
      <c r="B35" s="6" t="s">
        <v>45</v>
      </c>
      <c r="C35" s="6">
        <v>20.0</v>
      </c>
      <c r="D35" s="6">
        <v>26.0</v>
      </c>
      <c r="E35" s="6">
        <v>0.1</v>
      </c>
      <c r="F35" s="6">
        <v>7.0</v>
      </c>
      <c r="G35" s="6">
        <v>2.86</v>
      </c>
      <c r="H35" s="6">
        <v>26.0</v>
      </c>
      <c r="I35" s="6">
        <v>0.0</v>
      </c>
      <c r="J35" s="6">
        <v>0.0</v>
      </c>
      <c r="K35" s="6">
        <v>1.0</v>
      </c>
      <c r="L35" s="6">
        <v>6.0</v>
      </c>
    </row>
    <row r="36">
      <c r="A36" s="6" t="s">
        <v>131</v>
      </c>
      <c r="B36" s="6" t="s">
        <v>45</v>
      </c>
      <c r="C36" s="6">
        <v>20.0</v>
      </c>
      <c r="D36" s="6">
        <v>35.0</v>
      </c>
      <c r="E36" s="6">
        <v>0.1</v>
      </c>
      <c r="F36" s="6">
        <v>7.0</v>
      </c>
      <c r="G36" s="6">
        <v>2.86</v>
      </c>
      <c r="H36" s="6">
        <v>35.0</v>
      </c>
      <c r="I36" s="6">
        <v>0.0</v>
      </c>
      <c r="J36" s="6">
        <v>0.0</v>
      </c>
      <c r="K36" s="6">
        <v>1.0</v>
      </c>
      <c r="L36" s="6">
        <v>6.0</v>
      </c>
    </row>
    <row r="37">
      <c r="A37" s="6" t="s">
        <v>115</v>
      </c>
      <c r="B37" s="6" t="s">
        <v>45</v>
      </c>
      <c r="C37" s="6">
        <v>25.0</v>
      </c>
      <c r="D37" s="6">
        <v>34.0</v>
      </c>
      <c r="E37" s="6">
        <v>0.2</v>
      </c>
      <c r="F37" s="6">
        <v>8.0</v>
      </c>
      <c r="G37" s="6">
        <v>3.13</v>
      </c>
      <c r="H37" s="6">
        <v>34.0</v>
      </c>
      <c r="I37" s="6">
        <v>0.0</v>
      </c>
      <c r="J37" s="6">
        <v>0.0</v>
      </c>
      <c r="K37" s="6">
        <v>0.0</v>
      </c>
      <c r="L37" s="6">
        <v>8.0</v>
      </c>
    </row>
    <row r="38">
      <c r="A38" s="6" t="s">
        <v>71</v>
      </c>
      <c r="B38" s="6" t="s">
        <v>45</v>
      </c>
      <c r="C38" s="6">
        <v>25.0</v>
      </c>
      <c r="D38" s="6">
        <v>44.0</v>
      </c>
      <c r="E38" s="6">
        <v>0.2</v>
      </c>
      <c r="F38" s="6">
        <v>8.0</v>
      </c>
      <c r="G38" s="6">
        <v>3.13</v>
      </c>
      <c r="H38" s="6">
        <v>44.0</v>
      </c>
      <c r="I38" s="6">
        <v>0.0</v>
      </c>
      <c r="J38" s="6">
        <v>0.0</v>
      </c>
      <c r="K38" s="6">
        <v>1.0</v>
      </c>
      <c r="L38" s="6">
        <v>7.0</v>
      </c>
    </row>
    <row r="39">
      <c r="A39" s="6" t="s">
        <v>87</v>
      </c>
      <c r="B39" s="6" t="s">
        <v>45</v>
      </c>
      <c r="C39" s="6">
        <v>25.0</v>
      </c>
      <c r="D39" s="6">
        <v>41.0</v>
      </c>
      <c r="E39" s="6">
        <v>0.2</v>
      </c>
      <c r="F39" s="6">
        <v>8.0</v>
      </c>
      <c r="G39" s="6">
        <v>3.13</v>
      </c>
      <c r="H39" s="6">
        <v>41.0</v>
      </c>
      <c r="I39" s="6">
        <v>0.0</v>
      </c>
      <c r="J39" s="6">
        <v>0.0</v>
      </c>
      <c r="K39" s="6">
        <v>1.0</v>
      </c>
      <c r="L39" s="6">
        <v>7.0</v>
      </c>
    </row>
    <row r="40">
      <c r="A40" s="6" t="s">
        <v>44</v>
      </c>
      <c r="B40" s="6" t="s">
        <v>45</v>
      </c>
      <c r="C40" s="6">
        <v>25.0</v>
      </c>
      <c r="D40" s="6">
        <v>43.0</v>
      </c>
      <c r="E40" s="6">
        <v>0.2</v>
      </c>
      <c r="F40" s="6">
        <v>9.0</v>
      </c>
      <c r="G40" s="6">
        <v>2.78</v>
      </c>
      <c r="H40" s="6">
        <v>43.0</v>
      </c>
      <c r="I40" s="6">
        <v>0.0</v>
      </c>
      <c r="J40" s="6">
        <v>0.0</v>
      </c>
      <c r="K40" s="6">
        <v>1.0</v>
      </c>
      <c r="L40" s="6">
        <v>8.0</v>
      </c>
    </row>
    <row r="41">
      <c r="A41" s="6" t="s">
        <v>134</v>
      </c>
      <c r="B41" s="6" t="s">
        <v>45</v>
      </c>
      <c r="C41" s="6">
        <v>25.0</v>
      </c>
      <c r="D41" s="6">
        <v>45.0</v>
      </c>
      <c r="E41" s="6">
        <v>0.2</v>
      </c>
      <c r="F41" s="6">
        <v>8.0</v>
      </c>
      <c r="G41" s="6">
        <v>3.13</v>
      </c>
      <c r="H41" s="6">
        <v>45.0</v>
      </c>
      <c r="I41" s="6">
        <v>0.0</v>
      </c>
      <c r="J41" s="6">
        <v>0.0</v>
      </c>
      <c r="K41" s="6">
        <v>0.0</v>
      </c>
      <c r="L41" s="6">
        <v>8.0</v>
      </c>
    </row>
    <row r="42">
      <c r="A42" s="6" t="s">
        <v>153</v>
      </c>
      <c r="B42" s="6" t="s">
        <v>45</v>
      </c>
      <c r="C42" s="6">
        <v>30.0</v>
      </c>
      <c r="D42" s="6">
        <v>54.0</v>
      </c>
      <c r="E42" s="6">
        <v>0.2</v>
      </c>
      <c r="F42" s="6">
        <v>8.0</v>
      </c>
      <c r="G42" s="6">
        <v>3.75</v>
      </c>
      <c r="H42" s="6">
        <v>54.0</v>
      </c>
      <c r="I42" s="6">
        <v>0.0</v>
      </c>
      <c r="J42" s="6">
        <v>0.0</v>
      </c>
      <c r="K42" s="6">
        <v>0.0</v>
      </c>
      <c r="L42" s="6">
        <v>8.0</v>
      </c>
    </row>
    <row r="43">
      <c r="A43" s="6" t="s">
        <v>51</v>
      </c>
      <c r="B43" s="6" t="s">
        <v>45</v>
      </c>
      <c r="C43" s="6">
        <v>30.0</v>
      </c>
      <c r="D43" s="6">
        <v>59.0</v>
      </c>
      <c r="E43" s="6">
        <v>0.2</v>
      </c>
      <c r="F43" s="6">
        <v>9.0</v>
      </c>
      <c r="G43" s="6">
        <v>3.33</v>
      </c>
      <c r="H43" s="6">
        <v>59.0</v>
      </c>
      <c r="I43" s="6">
        <v>0.0</v>
      </c>
      <c r="J43" s="6">
        <v>0.0</v>
      </c>
      <c r="K43" s="6">
        <v>0.0</v>
      </c>
      <c r="L43" s="6">
        <v>9.0</v>
      </c>
    </row>
    <row r="44">
      <c r="A44" s="6" t="s">
        <v>96</v>
      </c>
      <c r="B44" s="6" t="s">
        <v>45</v>
      </c>
      <c r="C44" s="6">
        <v>30.0</v>
      </c>
      <c r="D44" s="6">
        <v>64.0</v>
      </c>
      <c r="E44" s="6">
        <v>0.2</v>
      </c>
      <c r="F44" s="6">
        <v>10.0</v>
      </c>
      <c r="G44" s="6">
        <v>3.0</v>
      </c>
      <c r="H44" s="6">
        <v>64.0</v>
      </c>
      <c r="I44" s="6">
        <v>0.0</v>
      </c>
      <c r="J44" s="6">
        <v>0.0</v>
      </c>
      <c r="K44" s="6">
        <v>0.0</v>
      </c>
      <c r="L44" s="6">
        <v>10.0</v>
      </c>
    </row>
    <row r="45">
      <c r="A45" s="6" t="s">
        <v>106</v>
      </c>
      <c r="B45" s="6" t="s">
        <v>45</v>
      </c>
      <c r="C45" s="6">
        <v>30.0</v>
      </c>
      <c r="D45" s="6">
        <v>62.0</v>
      </c>
      <c r="E45" s="6">
        <v>0.2</v>
      </c>
      <c r="F45" s="6">
        <v>9.0</v>
      </c>
      <c r="G45" s="6">
        <v>3.33</v>
      </c>
      <c r="H45" s="6">
        <v>62.0</v>
      </c>
      <c r="I45" s="6">
        <v>0.0</v>
      </c>
      <c r="J45" s="6">
        <v>0.0</v>
      </c>
      <c r="K45" s="6">
        <v>1.0</v>
      </c>
      <c r="L45" s="6">
        <v>8.0</v>
      </c>
    </row>
    <row r="46">
      <c r="A46" s="6" t="s">
        <v>91</v>
      </c>
      <c r="B46" s="6" t="s">
        <v>45</v>
      </c>
      <c r="C46" s="6">
        <v>30.0</v>
      </c>
      <c r="D46" s="6">
        <v>58.0</v>
      </c>
      <c r="E46" s="6">
        <v>0.2</v>
      </c>
      <c r="F46" s="6">
        <v>9.0</v>
      </c>
      <c r="G46" s="6">
        <v>3.33</v>
      </c>
      <c r="H46" s="6">
        <v>58.0</v>
      </c>
      <c r="I46" s="6">
        <v>0.0</v>
      </c>
      <c r="J46" s="6">
        <v>0.0</v>
      </c>
      <c r="K46" s="6">
        <v>0.0</v>
      </c>
      <c r="L46" s="6">
        <v>9.0</v>
      </c>
    </row>
    <row r="47">
      <c r="A47" s="6" t="s">
        <v>66</v>
      </c>
      <c r="B47" s="6" t="s">
        <v>45</v>
      </c>
      <c r="C47" s="6">
        <v>40.0</v>
      </c>
      <c r="D47" s="6">
        <v>88.0</v>
      </c>
      <c r="E47" s="6">
        <v>0.4</v>
      </c>
      <c r="F47" s="6">
        <v>12.0</v>
      </c>
      <c r="G47" s="6">
        <v>3.33</v>
      </c>
      <c r="H47" s="6">
        <v>88.0</v>
      </c>
      <c r="I47" s="6">
        <v>0.0</v>
      </c>
      <c r="J47" s="6">
        <v>0.0</v>
      </c>
      <c r="K47" s="6">
        <v>1.0</v>
      </c>
      <c r="L47" s="6">
        <v>11.0</v>
      </c>
    </row>
    <row r="48">
      <c r="A48" s="6" t="s">
        <v>75</v>
      </c>
      <c r="B48" s="6" t="s">
        <v>45</v>
      </c>
      <c r="C48" s="6">
        <v>40.0</v>
      </c>
      <c r="D48" s="6">
        <v>82.0</v>
      </c>
      <c r="E48" s="6">
        <v>0.4</v>
      </c>
      <c r="F48" s="6">
        <v>12.0</v>
      </c>
      <c r="G48" s="6">
        <v>3.33</v>
      </c>
      <c r="H48" s="6">
        <v>82.0</v>
      </c>
      <c r="I48" s="6">
        <v>0.0</v>
      </c>
      <c r="J48" s="6">
        <v>0.0</v>
      </c>
      <c r="K48" s="6">
        <v>0.0</v>
      </c>
      <c r="L48" s="6">
        <v>12.0</v>
      </c>
    </row>
    <row r="49">
      <c r="A49" s="6" t="s">
        <v>58</v>
      </c>
      <c r="B49" s="6" t="s">
        <v>45</v>
      </c>
      <c r="C49" s="6">
        <v>40.0</v>
      </c>
      <c r="D49" s="6">
        <v>91.0</v>
      </c>
      <c r="E49" s="6">
        <v>0.4</v>
      </c>
      <c r="F49" s="6">
        <v>13.0</v>
      </c>
      <c r="G49" s="6">
        <v>3.08</v>
      </c>
      <c r="H49" s="6">
        <v>91.0</v>
      </c>
      <c r="I49" s="6">
        <v>0.0</v>
      </c>
      <c r="J49" s="6">
        <v>0.0</v>
      </c>
      <c r="K49" s="6">
        <v>0.0</v>
      </c>
      <c r="L49" s="6">
        <v>13.0</v>
      </c>
    </row>
    <row r="50">
      <c r="A50" s="6" t="s">
        <v>108</v>
      </c>
      <c r="B50" s="6" t="s">
        <v>45</v>
      </c>
      <c r="C50" s="6">
        <v>40.0</v>
      </c>
      <c r="D50" s="6">
        <v>93.0</v>
      </c>
      <c r="E50" s="6">
        <v>0.4</v>
      </c>
      <c r="F50" s="6">
        <v>13.0</v>
      </c>
      <c r="G50" s="6">
        <v>3.08</v>
      </c>
      <c r="H50" s="6">
        <v>93.0</v>
      </c>
      <c r="I50" s="6">
        <v>0.0</v>
      </c>
      <c r="J50" s="6">
        <v>0.0</v>
      </c>
      <c r="K50" s="6">
        <v>2.0</v>
      </c>
      <c r="L50" s="6">
        <v>11.0</v>
      </c>
    </row>
    <row r="51">
      <c r="A51" s="6" t="s">
        <v>122</v>
      </c>
      <c r="B51" s="6" t="s">
        <v>45</v>
      </c>
      <c r="C51" s="6">
        <v>40.0</v>
      </c>
      <c r="D51" s="6">
        <v>92.0</v>
      </c>
      <c r="E51" s="6">
        <v>0.4</v>
      </c>
      <c r="F51" s="6">
        <v>14.0</v>
      </c>
      <c r="G51" s="6">
        <v>2.86</v>
      </c>
      <c r="H51" s="6">
        <v>92.0</v>
      </c>
      <c r="I51" s="6">
        <v>0.0</v>
      </c>
      <c r="J51" s="6">
        <v>0.0</v>
      </c>
      <c r="K51" s="6">
        <v>2.0</v>
      </c>
      <c r="L51" s="6">
        <v>12.0</v>
      </c>
    </row>
    <row r="52">
      <c r="A52" s="6" t="s">
        <v>88</v>
      </c>
      <c r="B52" s="6" t="s">
        <v>45</v>
      </c>
      <c r="C52" s="6">
        <v>50.0</v>
      </c>
      <c r="D52" s="6">
        <v>115.0</v>
      </c>
      <c r="E52" s="6">
        <v>0.6</v>
      </c>
      <c r="F52" s="6">
        <v>16.0</v>
      </c>
      <c r="G52" s="6">
        <v>3.13</v>
      </c>
      <c r="H52" s="6">
        <v>115.0</v>
      </c>
      <c r="I52" s="6">
        <v>0.0</v>
      </c>
      <c r="J52" s="6">
        <v>0.0</v>
      </c>
      <c r="K52" s="6">
        <v>3.0</v>
      </c>
      <c r="L52" s="6">
        <v>13.0</v>
      </c>
    </row>
    <row r="53">
      <c r="A53" s="6" t="s">
        <v>135</v>
      </c>
      <c r="B53" s="6" t="s">
        <v>45</v>
      </c>
      <c r="C53" s="6">
        <v>50.0</v>
      </c>
      <c r="D53" s="6">
        <v>124.0</v>
      </c>
      <c r="E53" s="6">
        <v>0.5</v>
      </c>
      <c r="F53" s="6">
        <v>14.0</v>
      </c>
      <c r="G53" s="6">
        <v>3.57</v>
      </c>
      <c r="H53" s="6">
        <v>124.0</v>
      </c>
      <c r="I53" s="6">
        <v>0.0</v>
      </c>
      <c r="J53" s="6">
        <v>0.0</v>
      </c>
      <c r="K53" s="6">
        <v>0.0</v>
      </c>
      <c r="L53" s="6">
        <v>14.0</v>
      </c>
    </row>
    <row r="54">
      <c r="A54" s="6" t="s">
        <v>54</v>
      </c>
      <c r="B54" s="6" t="s">
        <v>45</v>
      </c>
      <c r="C54" s="6">
        <v>50.0</v>
      </c>
      <c r="D54" s="6">
        <v>122.0</v>
      </c>
      <c r="E54" s="6">
        <v>0.6</v>
      </c>
      <c r="F54" s="6">
        <v>16.0</v>
      </c>
      <c r="G54" s="6">
        <v>3.13</v>
      </c>
      <c r="H54" s="6">
        <v>122.0</v>
      </c>
      <c r="I54" s="6">
        <v>0.0</v>
      </c>
      <c r="J54" s="6">
        <v>0.0</v>
      </c>
      <c r="K54" s="6">
        <v>1.0</v>
      </c>
      <c r="L54" s="6">
        <v>15.0</v>
      </c>
    </row>
    <row r="55">
      <c r="A55" s="6" t="s">
        <v>148</v>
      </c>
      <c r="B55" s="6" t="s">
        <v>45</v>
      </c>
      <c r="C55" s="6">
        <v>50.0</v>
      </c>
      <c r="D55" s="6">
        <v>118.0</v>
      </c>
      <c r="E55" s="6">
        <v>0.6</v>
      </c>
      <c r="F55" s="6">
        <v>16.0</v>
      </c>
      <c r="G55" s="6">
        <v>3.13</v>
      </c>
      <c r="H55" s="6">
        <v>118.0</v>
      </c>
      <c r="I55" s="6">
        <v>0.0</v>
      </c>
      <c r="J55" s="6">
        <v>0.0</v>
      </c>
      <c r="K55" s="6">
        <v>2.0</v>
      </c>
      <c r="L55" s="6">
        <v>14.0</v>
      </c>
    </row>
    <row r="56">
      <c r="A56" s="6" t="s">
        <v>76</v>
      </c>
      <c r="B56" s="6" t="s">
        <v>45</v>
      </c>
      <c r="C56" s="6">
        <v>50.0</v>
      </c>
      <c r="D56" s="6">
        <v>127.0</v>
      </c>
      <c r="E56" s="6">
        <v>0.6</v>
      </c>
      <c r="F56" s="6">
        <v>16.0</v>
      </c>
      <c r="G56" s="6">
        <v>3.13</v>
      </c>
      <c r="H56" s="6">
        <v>127.0</v>
      </c>
      <c r="I56" s="6">
        <v>0.0</v>
      </c>
      <c r="J56" s="6">
        <v>0.0</v>
      </c>
      <c r="K56" s="6">
        <v>2.0</v>
      </c>
      <c r="L56" s="6">
        <v>14.0</v>
      </c>
    </row>
    <row r="57">
      <c r="A57" s="6" t="s">
        <v>62</v>
      </c>
      <c r="B57" s="6" t="s">
        <v>45</v>
      </c>
      <c r="C57" s="6">
        <v>75.0</v>
      </c>
      <c r="D57" s="6">
        <v>222.0</v>
      </c>
      <c r="E57" s="6">
        <v>1.2</v>
      </c>
      <c r="F57" s="6">
        <v>22.0</v>
      </c>
      <c r="G57" s="6">
        <v>3.41</v>
      </c>
      <c r="H57" s="6">
        <v>222.0</v>
      </c>
      <c r="I57" s="6">
        <v>0.0</v>
      </c>
      <c r="J57" s="6">
        <v>0.0</v>
      </c>
      <c r="K57" s="6">
        <v>4.0</v>
      </c>
      <c r="L57" s="6">
        <v>18.0</v>
      </c>
    </row>
    <row r="58">
      <c r="A58" s="6" t="s">
        <v>72</v>
      </c>
      <c r="B58" s="6" t="s">
        <v>45</v>
      </c>
      <c r="C58" s="6">
        <v>75.0</v>
      </c>
      <c r="D58" s="6">
        <v>192.0</v>
      </c>
      <c r="E58" s="6">
        <v>1.3</v>
      </c>
      <c r="F58" s="6">
        <v>25.0</v>
      </c>
      <c r="G58" s="6">
        <v>3.0</v>
      </c>
      <c r="H58" s="6">
        <v>192.0</v>
      </c>
      <c r="I58" s="6">
        <v>0.0</v>
      </c>
      <c r="J58" s="6">
        <v>0.0</v>
      </c>
      <c r="K58" s="6">
        <v>4.0</v>
      </c>
      <c r="L58" s="6">
        <v>21.0</v>
      </c>
    </row>
    <row r="59">
      <c r="A59" s="6" t="s">
        <v>74</v>
      </c>
      <c r="B59" s="6" t="s">
        <v>45</v>
      </c>
      <c r="C59" s="6">
        <v>75.0</v>
      </c>
      <c r="D59" s="6">
        <v>197.0</v>
      </c>
      <c r="E59" s="6">
        <v>1.3</v>
      </c>
      <c r="F59" s="6">
        <v>24.0</v>
      </c>
      <c r="G59" s="6">
        <v>3.13</v>
      </c>
      <c r="H59" s="6">
        <v>197.0</v>
      </c>
      <c r="I59" s="6">
        <v>0.0</v>
      </c>
      <c r="J59" s="6">
        <v>0.0</v>
      </c>
      <c r="K59" s="6">
        <v>4.0</v>
      </c>
      <c r="L59" s="6">
        <v>20.0</v>
      </c>
    </row>
    <row r="60">
      <c r="A60" s="6" t="s">
        <v>120</v>
      </c>
      <c r="B60" s="6" t="s">
        <v>45</v>
      </c>
      <c r="C60" s="6">
        <v>75.0</v>
      </c>
      <c r="D60" s="6">
        <v>189.0</v>
      </c>
      <c r="E60" s="6">
        <v>1.2</v>
      </c>
      <c r="F60" s="6">
        <v>23.0</v>
      </c>
      <c r="G60" s="6">
        <v>3.26</v>
      </c>
      <c r="H60" s="6">
        <v>189.0</v>
      </c>
      <c r="I60" s="6">
        <v>0.0</v>
      </c>
      <c r="J60" s="6">
        <v>1.0</v>
      </c>
      <c r="K60" s="6">
        <v>4.0</v>
      </c>
      <c r="L60" s="6">
        <v>18.0</v>
      </c>
    </row>
    <row r="61">
      <c r="A61" s="6" t="s">
        <v>119</v>
      </c>
      <c r="B61" s="6" t="s">
        <v>45</v>
      </c>
      <c r="C61" s="6">
        <v>75.0</v>
      </c>
      <c r="D61" s="6">
        <v>198.0</v>
      </c>
      <c r="E61" s="6">
        <v>1.2</v>
      </c>
      <c r="F61" s="6">
        <v>23.0</v>
      </c>
      <c r="G61" s="6">
        <v>3.26</v>
      </c>
      <c r="H61" s="6">
        <v>198.0</v>
      </c>
      <c r="I61" s="6">
        <v>0.0</v>
      </c>
      <c r="J61" s="6">
        <v>1.0</v>
      </c>
      <c r="K61" s="6">
        <v>2.0</v>
      </c>
      <c r="L61" s="6">
        <v>20.0</v>
      </c>
    </row>
    <row r="62">
      <c r="A62" s="6" t="s">
        <v>101</v>
      </c>
      <c r="B62" s="6" t="s">
        <v>45</v>
      </c>
      <c r="C62" s="6">
        <v>100.0</v>
      </c>
      <c r="D62" s="6">
        <v>300.0</v>
      </c>
      <c r="E62" s="6">
        <v>2.3</v>
      </c>
      <c r="F62" s="6">
        <v>29.0</v>
      </c>
      <c r="G62" s="6">
        <v>3.45</v>
      </c>
      <c r="H62" s="6">
        <v>300.0</v>
      </c>
      <c r="I62" s="6">
        <v>0.0</v>
      </c>
      <c r="J62" s="6">
        <v>0.0</v>
      </c>
      <c r="K62" s="6">
        <v>4.0</v>
      </c>
      <c r="L62" s="6">
        <v>25.0</v>
      </c>
    </row>
    <row r="63">
      <c r="A63" s="6" t="s">
        <v>117</v>
      </c>
      <c r="B63" s="6" t="s">
        <v>45</v>
      </c>
      <c r="C63" s="6">
        <v>100.0</v>
      </c>
      <c r="D63" s="6">
        <v>282.0</v>
      </c>
      <c r="E63" s="6">
        <v>2.3</v>
      </c>
      <c r="F63" s="6">
        <v>33.0</v>
      </c>
      <c r="G63" s="6">
        <v>3.03</v>
      </c>
      <c r="H63" s="6">
        <v>282.0</v>
      </c>
      <c r="I63" s="6">
        <v>0.0</v>
      </c>
      <c r="J63" s="6">
        <v>0.0</v>
      </c>
      <c r="K63" s="6">
        <v>10.0</v>
      </c>
      <c r="L63" s="6">
        <v>23.0</v>
      </c>
    </row>
    <row r="64">
      <c r="A64" s="6" t="s">
        <v>98</v>
      </c>
      <c r="B64" s="6" t="s">
        <v>45</v>
      </c>
      <c r="C64" s="6">
        <v>100.0</v>
      </c>
      <c r="D64" s="6">
        <v>300.0</v>
      </c>
      <c r="E64" s="6">
        <v>2.3</v>
      </c>
      <c r="F64" s="6">
        <v>30.0</v>
      </c>
      <c r="G64" s="6">
        <v>3.33</v>
      </c>
      <c r="H64" s="6">
        <v>300.0</v>
      </c>
      <c r="I64" s="6">
        <v>0.0</v>
      </c>
      <c r="J64" s="6">
        <v>1.0</v>
      </c>
      <c r="K64" s="6">
        <v>5.0</v>
      </c>
      <c r="L64" s="6">
        <v>24.0</v>
      </c>
    </row>
    <row r="65">
      <c r="A65" s="6" t="s">
        <v>143</v>
      </c>
      <c r="B65" s="6" t="s">
        <v>45</v>
      </c>
      <c r="C65" s="6">
        <v>100.0</v>
      </c>
      <c r="D65" s="6">
        <v>282.0</v>
      </c>
      <c r="E65" s="6">
        <v>2.3</v>
      </c>
      <c r="F65" s="6">
        <v>32.0</v>
      </c>
      <c r="G65" s="6">
        <v>3.13</v>
      </c>
      <c r="H65" s="6">
        <v>282.0</v>
      </c>
      <c r="I65" s="6">
        <v>0.0</v>
      </c>
      <c r="J65" s="6">
        <v>0.0</v>
      </c>
      <c r="K65" s="6">
        <v>6.0</v>
      </c>
      <c r="L65" s="6">
        <v>26.0</v>
      </c>
    </row>
    <row r="66">
      <c r="A66" s="6" t="s">
        <v>92</v>
      </c>
      <c r="B66" s="6" t="s">
        <v>45</v>
      </c>
      <c r="C66" s="6">
        <v>100.0</v>
      </c>
      <c r="D66" s="6">
        <v>305.0</v>
      </c>
      <c r="E66" s="6">
        <v>2.2</v>
      </c>
      <c r="F66" s="6">
        <v>29.0</v>
      </c>
      <c r="G66" s="6">
        <v>3.45</v>
      </c>
      <c r="H66" s="6">
        <v>305.0</v>
      </c>
      <c r="I66" s="6">
        <v>0.0</v>
      </c>
      <c r="J66" s="6">
        <v>0.0</v>
      </c>
      <c r="K66" s="6">
        <v>3.0</v>
      </c>
      <c r="L66" s="6">
        <v>26.0</v>
      </c>
    </row>
    <row r="67">
      <c r="A67" s="6" t="s">
        <v>97</v>
      </c>
      <c r="B67" s="6" t="s">
        <v>45</v>
      </c>
      <c r="C67" s="6">
        <v>125.0</v>
      </c>
      <c r="D67" s="6">
        <v>392.0</v>
      </c>
      <c r="E67" s="6">
        <v>3.3</v>
      </c>
      <c r="F67" s="6">
        <v>37.0</v>
      </c>
      <c r="G67" s="6">
        <v>3.38</v>
      </c>
      <c r="H67" s="6">
        <v>392.0</v>
      </c>
      <c r="I67" s="6">
        <v>0.0</v>
      </c>
      <c r="J67" s="6">
        <v>0.0</v>
      </c>
      <c r="K67" s="6">
        <v>7.0</v>
      </c>
      <c r="L67" s="6">
        <v>30.0</v>
      </c>
    </row>
    <row r="68">
      <c r="A68" s="6" t="s">
        <v>121</v>
      </c>
      <c r="B68" s="6" t="s">
        <v>45</v>
      </c>
      <c r="C68" s="6">
        <v>125.0</v>
      </c>
      <c r="D68" s="6">
        <v>388.0</v>
      </c>
      <c r="E68" s="6">
        <v>3.4</v>
      </c>
      <c r="F68" s="6">
        <v>39.0</v>
      </c>
      <c r="G68" s="6">
        <v>3.21</v>
      </c>
      <c r="H68" s="6">
        <v>388.0</v>
      </c>
      <c r="I68" s="6">
        <v>0.0</v>
      </c>
      <c r="J68" s="6">
        <v>0.0</v>
      </c>
      <c r="K68" s="6">
        <v>7.0</v>
      </c>
      <c r="L68" s="6">
        <v>32.0</v>
      </c>
    </row>
    <row r="69">
      <c r="A69" s="6" t="s">
        <v>116</v>
      </c>
      <c r="B69" s="6" t="s">
        <v>45</v>
      </c>
      <c r="C69" s="6">
        <v>125.0</v>
      </c>
      <c r="D69" s="6">
        <v>380.0</v>
      </c>
      <c r="E69" s="6">
        <v>3.4</v>
      </c>
      <c r="F69" s="6">
        <v>40.0</v>
      </c>
      <c r="G69" s="6">
        <v>3.13</v>
      </c>
      <c r="H69" s="6">
        <v>380.0</v>
      </c>
      <c r="I69" s="6">
        <v>0.0</v>
      </c>
      <c r="J69" s="6">
        <v>1.0</v>
      </c>
      <c r="K69" s="6">
        <v>9.0</v>
      </c>
      <c r="L69" s="6">
        <v>30.0</v>
      </c>
    </row>
    <row r="70">
      <c r="A70" s="6" t="s">
        <v>102</v>
      </c>
      <c r="B70" s="6" t="s">
        <v>45</v>
      </c>
      <c r="C70" s="6">
        <v>125.0</v>
      </c>
      <c r="D70" s="6">
        <v>368.0</v>
      </c>
      <c r="E70" s="6">
        <v>3.3</v>
      </c>
      <c r="F70" s="6">
        <v>38.0</v>
      </c>
      <c r="G70" s="6">
        <v>3.29</v>
      </c>
      <c r="H70" s="6">
        <v>368.0</v>
      </c>
      <c r="I70" s="6">
        <v>0.0</v>
      </c>
      <c r="J70" s="6">
        <v>0.0</v>
      </c>
      <c r="K70" s="6">
        <v>2.0</v>
      </c>
      <c r="L70" s="6">
        <v>36.0</v>
      </c>
    </row>
    <row r="71">
      <c r="A71" s="6" t="s">
        <v>147</v>
      </c>
      <c r="B71" s="6" t="s">
        <v>45</v>
      </c>
      <c r="C71" s="6">
        <v>125.0</v>
      </c>
      <c r="D71" s="6">
        <v>384.0</v>
      </c>
      <c r="E71" s="6">
        <v>3.4</v>
      </c>
      <c r="F71" s="6">
        <v>38.0</v>
      </c>
      <c r="G71" s="6">
        <v>3.29</v>
      </c>
      <c r="H71" s="6">
        <v>384.0</v>
      </c>
      <c r="I71" s="6">
        <v>0.0</v>
      </c>
      <c r="J71" s="6">
        <v>0.0</v>
      </c>
      <c r="K71" s="6">
        <v>9.0</v>
      </c>
      <c r="L71" s="6">
        <v>29.0</v>
      </c>
    </row>
    <row r="72">
      <c r="A72" s="6" t="s">
        <v>146</v>
      </c>
      <c r="B72" s="6" t="s">
        <v>45</v>
      </c>
      <c r="C72" s="6">
        <v>150.0</v>
      </c>
      <c r="D72" s="6">
        <v>479.0</v>
      </c>
      <c r="E72" s="6">
        <v>5.0</v>
      </c>
      <c r="F72" s="6">
        <v>46.0</v>
      </c>
      <c r="G72" s="6">
        <v>3.26</v>
      </c>
      <c r="H72" s="6">
        <v>479.0</v>
      </c>
      <c r="I72" s="6">
        <v>0.0</v>
      </c>
      <c r="J72" s="6">
        <v>2.0</v>
      </c>
      <c r="K72" s="6">
        <v>5.0</v>
      </c>
      <c r="L72" s="6">
        <v>39.0</v>
      </c>
    </row>
    <row r="73">
      <c r="A73" s="6" t="s">
        <v>89</v>
      </c>
      <c r="B73" s="6" t="s">
        <v>45</v>
      </c>
      <c r="C73" s="6">
        <v>150.0</v>
      </c>
      <c r="D73" s="6">
        <v>477.0</v>
      </c>
      <c r="E73" s="6">
        <v>5.1</v>
      </c>
      <c r="F73" s="6">
        <v>46.0</v>
      </c>
      <c r="G73" s="6">
        <v>3.26</v>
      </c>
      <c r="H73" s="6">
        <v>477.0</v>
      </c>
      <c r="I73" s="6">
        <v>0.0</v>
      </c>
      <c r="J73" s="6">
        <v>1.0</v>
      </c>
      <c r="K73" s="6">
        <v>7.0</v>
      </c>
      <c r="L73" s="6">
        <v>38.0</v>
      </c>
    </row>
    <row r="74">
      <c r="A74" s="6" t="s">
        <v>47</v>
      </c>
      <c r="B74" s="6" t="s">
        <v>45</v>
      </c>
      <c r="C74" s="6">
        <v>150.0</v>
      </c>
      <c r="D74" s="6">
        <v>483.0</v>
      </c>
      <c r="E74" s="6">
        <v>4.9</v>
      </c>
      <c r="F74" s="6">
        <v>45.0</v>
      </c>
      <c r="G74" s="6">
        <v>3.33</v>
      </c>
      <c r="H74" s="6">
        <v>483.0</v>
      </c>
      <c r="I74" s="6">
        <v>0.0</v>
      </c>
      <c r="J74" s="6">
        <v>1.0</v>
      </c>
      <c r="K74" s="6">
        <v>8.0</v>
      </c>
      <c r="L74" s="6">
        <v>36.0</v>
      </c>
    </row>
    <row r="75">
      <c r="A75" s="6" t="s">
        <v>137</v>
      </c>
      <c r="B75" s="6" t="s">
        <v>45</v>
      </c>
      <c r="C75" s="6">
        <v>150.0</v>
      </c>
      <c r="D75" s="6">
        <v>484.0</v>
      </c>
      <c r="E75" s="6">
        <v>4.8</v>
      </c>
      <c r="F75" s="6">
        <v>46.0</v>
      </c>
      <c r="G75" s="6">
        <v>3.26</v>
      </c>
      <c r="H75" s="6">
        <v>484.0</v>
      </c>
      <c r="I75" s="6">
        <v>0.0</v>
      </c>
      <c r="J75" s="6">
        <v>2.0</v>
      </c>
      <c r="K75" s="6">
        <v>11.0</v>
      </c>
      <c r="L75" s="6">
        <v>33.0</v>
      </c>
    </row>
    <row r="76">
      <c r="A76" s="6" t="s">
        <v>136</v>
      </c>
      <c r="B76" s="6" t="s">
        <v>45</v>
      </c>
      <c r="C76" s="6">
        <v>150.0</v>
      </c>
      <c r="D76" s="6">
        <v>455.0</v>
      </c>
      <c r="E76" s="6">
        <v>4.8</v>
      </c>
      <c r="F76" s="6">
        <v>47.0</v>
      </c>
      <c r="G76" s="6">
        <v>3.19</v>
      </c>
      <c r="H76" s="6">
        <v>455.0</v>
      </c>
      <c r="I76" s="6">
        <v>0.0</v>
      </c>
      <c r="J76" s="6">
        <v>0.0</v>
      </c>
      <c r="K76" s="6">
        <v>12.0</v>
      </c>
      <c r="L76" s="6">
        <v>35.0</v>
      </c>
    </row>
    <row r="77">
      <c r="A77" s="6" t="s">
        <v>128</v>
      </c>
      <c r="B77" s="6" t="s">
        <v>45</v>
      </c>
      <c r="C77" s="6">
        <v>200.0</v>
      </c>
      <c r="D77" s="6">
        <v>680.0</v>
      </c>
      <c r="E77" s="6">
        <v>8.8</v>
      </c>
      <c r="F77" s="6">
        <v>61.0</v>
      </c>
      <c r="G77" s="6">
        <v>3.28</v>
      </c>
      <c r="H77" s="6">
        <v>680.0</v>
      </c>
      <c r="I77" s="6">
        <v>0.0</v>
      </c>
      <c r="J77" s="6">
        <v>1.0</v>
      </c>
      <c r="K77" s="6">
        <v>17.0</v>
      </c>
      <c r="L77" s="6">
        <v>43.0</v>
      </c>
    </row>
    <row r="78">
      <c r="A78" s="6" t="s">
        <v>68</v>
      </c>
      <c r="B78" s="6" t="s">
        <v>45</v>
      </c>
      <c r="C78" s="6">
        <v>200.0</v>
      </c>
      <c r="D78" s="6">
        <v>677.0</v>
      </c>
      <c r="E78" s="6">
        <v>9.0</v>
      </c>
      <c r="F78" s="6">
        <v>61.0</v>
      </c>
      <c r="G78" s="6">
        <v>3.28</v>
      </c>
      <c r="H78" s="6">
        <v>677.0</v>
      </c>
      <c r="I78" s="6">
        <v>0.0</v>
      </c>
      <c r="J78" s="6">
        <v>1.0</v>
      </c>
      <c r="K78" s="6">
        <v>20.0</v>
      </c>
      <c r="L78" s="6">
        <v>40.0</v>
      </c>
    </row>
    <row r="79">
      <c r="A79" s="6" t="s">
        <v>112</v>
      </c>
      <c r="B79" s="6" t="s">
        <v>45</v>
      </c>
      <c r="C79" s="6">
        <v>200.0</v>
      </c>
      <c r="D79" s="6">
        <v>683.0</v>
      </c>
      <c r="E79" s="6">
        <v>8.5</v>
      </c>
      <c r="F79" s="6">
        <v>59.0</v>
      </c>
      <c r="G79" s="6">
        <v>3.39</v>
      </c>
      <c r="H79" s="6">
        <v>683.0</v>
      </c>
      <c r="I79" s="6">
        <v>0.0</v>
      </c>
      <c r="J79" s="6">
        <v>1.0</v>
      </c>
      <c r="K79" s="6">
        <v>17.0</v>
      </c>
      <c r="L79" s="6">
        <v>41.0</v>
      </c>
    </row>
    <row r="80">
      <c r="A80" s="6" t="s">
        <v>145</v>
      </c>
      <c r="B80" s="6" t="s">
        <v>45</v>
      </c>
      <c r="C80" s="6">
        <v>200.0</v>
      </c>
      <c r="D80" s="6">
        <v>685.0</v>
      </c>
      <c r="E80" s="6">
        <v>8.5</v>
      </c>
      <c r="F80" s="6">
        <v>60.0</v>
      </c>
      <c r="G80" s="6">
        <v>3.33</v>
      </c>
      <c r="H80" s="6">
        <v>685.0</v>
      </c>
      <c r="I80" s="6">
        <v>0.0</v>
      </c>
      <c r="J80" s="6">
        <v>0.0</v>
      </c>
      <c r="K80" s="6">
        <v>19.0</v>
      </c>
      <c r="L80" s="6">
        <v>41.0</v>
      </c>
    </row>
    <row r="81">
      <c r="A81" s="6" t="s">
        <v>56</v>
      </c>
      <c r="B81" s="6" t="s">
        <v>45</v>
      </c>
      <c r="C81" s="6">
        <v>200.0</v>
      </c>
      <c r="D81" s="6">
        <v>683.0</v>
      </c>
      <c r="E81" s="6">
        <v>8.7</v>
      </c>
      <c r="F81" s="6">
        <v>61.0</v>
      </c>
      <c r="G81" s="6">
        <v>3.28</v>
      </c>
      <c r="H81" s="6">
        <v>683.0</v>
      </c>
      <c r="I81" s="6">
        <v>0.0</v>
      </c>
      <c r="J81" s="6">
        <v>1.0</v>
      </c>
      <c r="K81" s="6">
        <v>15.0</v>
      </c>
      <c r="L81" s="6">
        <v>45.0</v>
      </c>
    </row>
    <row r="82">
      <c r="A82" s="6" t="s">
        <v>77</v>
      </c>
      <c r="B82" s="6" t="s">
        <v>45</v>
      </c>
      <c r="C82" s="6">
        <v>250.0</v>
      </c>
      <c r="D82" s="6">
        <v>856.0</v>
      </c>
      <c r="E82" s="6">
        <v>13.9</v>
      </c>
      <c r="F82" s="6">
        <v>76.0</v>
      </c>
      <c r="G82" s="6">
        <v>3.29</v>
      </c>
      <c r="H82" s="6">
        <v>856.0</v>
      </c>
      <c r="I82" s="6">
        <v>0.0</v>
      </c>
      <c r="J82" s="6">
        <v>0.0</v>
      </c>
      <c r="K82" s="6">
        <v>24.0</v>
      </c>
      <c r="L82" s="6">
        <v>52.0</v>
      </c>
    </row>
    <row r="83">
      <c r="A83" s="6" t="s">
        <v>67</v>
      </c>
      <c r="B83" s="6" t="s">
        <v>45</v>
      </c>
      <c r="C83" s="6">
        <v>250.0</v>
      </c>
      <c r="D83" s="6">
        <v>846.0</v>
      </c>
      <c r="E83" s="6">
        <v>13.5</v>
      </c>
      <c r="F83" s="6">
        <v>74.0</v>
      </c>
      <c r="G83" s="6">
        <v>3.38</v>
      </c>
      <c r="H83" s="6">
        <v>846.0</v>
      </c>
      <c r="I83" s="6">
        <v>0.0</v>
      </c>
      <c r="J83" s="6">
        <v>2.0</v>
      </c>
      <c r="K83" s="6">
        <v>12.0</v>
      </c>
      <c r="L83" s="6">
        <v>60.0</v>
      </c>
    </row>
    <row r="84">
      <c r="A84" s="6" t="s">
        <v>70</v>
      </c>
      <c r="B84" s="6" t="s">
        <v>45</v>
      </c>
      <c r="C84" s="6">
        <v>250.0</v>
      </c>
      <c r="D84" s="6">
        <v>852.0</v>
      </c>
      <c r="E84" s="6">
        <v>13.5</v>
      </c>
      <c r="F84" s="6">
        <v>74.0</v>
      </c>
      <c r="G84" s="6">
        <v>3.38</v>
      </c>
      <c r="H84" s="6">
        <v>852.0</v>
      </c>
      <c r="I84" s="6">
        <v>0.0</v>
      </c>
      <c r="J84" s="6">
        <v>2.0</v>
      </c>
      <c r="K84" s="6">
        <v>21.0</v>
      </c>
      <c r="L84" s="6">
        <v>51.0</v>
      </c>
    </row>
    <row r="85">
      <c r="A85" s="6" t="s">
        <v>104</v>
      </c>
      <c r="B85" s="6" t="s">
        <v>45</v>
      </c>
      <c r="C85" s="6">
        <v>250.0</v>
      </c>
      <c r="D85" s="6">
        <v>843.0</v>
      </c>
      <c r="E85" s="6">
        <v>13.5</v>
      </c>
      <c r="F85" s="6">
        <v>74.0</v>
      </c>
      <c r="G85" s="6">
        <v>3.38</v>
      </c>
      <c r="H85" s="6">
        <v>843.0</v>
      </c>
      <c r="I85" s="6">
        <v>0.0</v>
      </c>
      <c r="J85" s="6">
        <v>0.0</v>
      </c>
      <c r="K85" s="6">
        <v>20.0</v>
      </c>
      <c r="L85" s="6">
        <v>54.0</v>
      </c>
    </row>
    <row r="86">
      <c r="A86" s="6" t="s">
        <v>84</v>
      </c>
      <c r="B86" s="6" t="s">
        <v>45</v>
      </c>
      <c r="C86" s="6">
        <v>250.0</v>
      </c>
      <c r="D86" s="6">
        <v>857.0</v>
      </c>
      <c r="E86" s="6">
        <v>13.5</v>
      </c>
      <c r="F86" s="6">
        <v>74.0</v>
      </c>
      <c r="G86" s="6">
        <v>3.38</v>
      </c>
      <c r="H86" s="6">
        <v>857.0</v>
      </c>
      <c r="I86" s="6">
        <v>0.0</v>
      </c>
      <c r="J86" s="6">
        <v>0.0</v>
      </c>
      <c r="K86" s="6">
        <v>16.0</v>
      </c>
      <c r="L86" s="6">
        <v>58.0</v>
      </c>
    </row>
    <row r="87">
      <c r="A87" s="6" t="s">
        <v>107</v>
      </c>
      <c r="B87" s="6" t="s">
        <v>45</v>
      </c>
      <c r="C87" s="6">
        <v>300.0</v>
      </c>
      <c r="D87" s="6">
        <v>979.0</v>
      </c>
      <c r="E87" s="6">
        <v>19.6</v>
      </c>
      <c r="F87" s="6">
        <v>89.0</v>
      </c>
      <c r="G87" s="6">
        <v>3.37</v>
      </c>
      <c r="H87" s="6">
        <v>979.0</v>
      </c>
      <c r="I87" s="6">
        <v>0.0</v>
      </c>
      <c r="J87" s="6">
        <v>0.0</v>
      </c>
      <c r="K87" s="6">
        <v>15.0</v>
      </c>
      <c r="L87" s="6">
        <v>74.0</v>
      </c>
    </row>
    <row r="88">
      <c r="A88" s="6" t="s">
        <v>80</v>
      </c>
      <c r="B88" s="6" t="s">
        <v>45</v>
      </c>
      <c r="C88" s="6">
        <v>300.0</v>
      </c>
      <c r="D88" s="6">
        <v>965.0</v>
      </c>
      <c r="E88" s="6">
        <v>20.0</v>
      </c>
      <c r="F88" s="6">
        <v>91.0</v>
      </c>
      <c r="G88" s="6">
        <v>3.3</v>
      </c>
      <c r="H88" s="6">
        <v>965.0</v>
      </c>
      <c r="I88" s="6">
        <v>0.0</v>
      </c>
      <c r="J88" s="6">
        <v>2.0</v>
      </c>
      <c r="K88" s="6">
        <v>16.0</v>
      </c>
      <c r="L88" s="6">
        <v>73.0</v>
      </c>
    </row>
    <row r="89">
      <c r="A89" s="6" t="s">
        <v>151</v>
      </c>
      <c r="B89" s="6" t="s">
        <v>45</v>
      </c>
      <c r="C89" s="6">
        <v>300.0</v>
      </c>
      <c r="D89" s="6">
        <v>944.0</v>
      </c>
      <c r="E89" s="6">
        <v>20.1</v>
      </c>
      <c r="F89" s="6">
        <v>94.0</v>
      </c>
      <c r="G89" s="6">
        <v>3.19</v>
      </c>
      <c r="H89" s="6">
        <v>944.0</v>
      </c>
      <c r="I89" s="6">
        <v>0.0</v>
      </c>
      <c r="J89" s="6">
        <v>1.0</v>
      </c>
      <c r="K89" s="6">
        <v>23.0</v>
      </c>
      <c r="L89" s="6">
        <v>70.0</v>
      </c>
    </row>
    <row r="90">
      <c r="A90" s="6" t="s">
        <v>118</v>
      </c>
      <c r="B90" s="6" t="s">
        <v>45</v>
      </c>
      <c r="C90" s="6">
        <v>300.0</v>
      </c>
      <c r="D90" s="6">
        <v>999.0</v>
      </c>
      <c r="E90" s="6">
        <v>19.8</v>
      </c>
      <c r="F90" s="6">
        <v>90.0</v>
      </c>
      <c r="G90" s="6">
        <v>3.33</v>
      </c>
      <c r="H90" s="6">
        <v>999.0</v>
      </c>
      <c r="I90" s="6">
        <v>0.0</v>
      </c>
      <c r="J90" s="6">
        <v>1.0</v>
      </c>
      <c r="K90" s="6">
        <v>20.0</v>
      </c>
      <c r="L90" s="6">
        <v>69.0</v>
      </c>
    </row>
    <row r="91">
      <c r="A91" s="6" t="s">
        <v>152</v>
      </c>
      <c r="B91" s="6" t="s">
        <v>45</v>
      </c>
      <c r="C91" s="6">
        <v>300.0</v>
      </c>
      <c r="D91" s="6">
        <v>953.0</v>
      </c>
      <c r="E91" s="6">
        <v>20.1</v>
      </c>
      <c r="F91" s="6">
        <v>91.0</v>
      </c>
      <c r="G91" s="6">
        <v>3.3</v>
      </c>
      <c r="H91" s="6">
        <v>953.0</v>
      </c>
      <c r="I91" s="6">
        <v>0.0</v>
      </c>
      <c r="J91" s="6">
        <v>1.0</v>
      </c>
      <c r="K91" s="6">
        <v>12.0</v>
      </c>
      <c r="L91" s="6">
        <v>78.0</v>
      </c>
    </row>
    <row r="92">
      <c r="A92" s="6" t="s">
        <v>99</v>
      </c>
      <c r="B92" s="6" t="s">
        <v>45</v>
      </c>
      <c r="C92" s="6">
        <v>400.0</v>
      </c>
      <c r="D92" s="6">
        <v>1237.0</v>
      </c>
      <c r="E92" s="6">
        <v>36.9</v>
      </c>
      <c r="F92" s="6">
        <v>120.0</v>
      </c>
      <c r="G92" s="6">
        <v>3.33</v>
      </c>
      <c r="H92" s="6">
        <v>1237.0</v>
      </c>
      <c r="I92" s="6">
        <v>0.0</v>
      </c>
      <c r="J92" s="6">
        <v>2.0</v>
      </c>
      <c r="K92" s="6">
        <v>16.0</v>
      </c>
      <c r="L92" s="6">
        <v>102.0</v>
      </c>
    </row>
    <row r="93">
      <c r="A93" s="6" t="s">
        <v>149</v>
      </c>
      <c r="B93" s="6" t="s">
        <v>45</v>
      </c>
      <c r="C93" s="6">
        <v>400.0</v>
      </c>
      <c r="D93" s="6">
        <v>1221.0</v>
      </c>
      <c r="E93" s="6">
        <v>37.1</v>
      </c>
      <c r="F93" s="6">
        <v>121.0</v>
      </c>
      <c r="G93" s="6">
        <v>3.31</v>
      </c>
      <c r="H93" s="6">
        <v>1221.0</v>
      </c>
      <c r="I93" s="6">
        <v>0.0</v>
      </c>
      <c r="J93" s="6">
        <v>0.0</v>
      </c>
      <c r="K93" s="6">
        <v>19.0</v>
      </c>
      <c r="L93" s="6">
        <v>102.0</v>
      </c>
    </row>
    <row r="94">
      <c r="A94" s="6" t="s">
        <v>139</v>
      </c>
      <c r="B94" s="6" t="s">
        <v>45</v>
      </c>
      <c r="C94" s="6">
        <v>400.0</v>
      </c>
      <c r="D94" s="6">
        <v>1223.0</v>
      </c>
      <c r="E94" s="6">
        <v>37.3</v>
      </c>
      <c r="F94" s="6">
        <v>122.0</v>
      </c>
      <c r="G94" s="6">
        <v>3.28</v>
      </c>
      <c r="H94" s="6">
        <v>1223.0</v>
      </c>
      <c r="I94" s="6">
        <v>0.0</v>
      </c>
      <c r="J94" s="6">
        <v>0.0</v>
      </c>
      <c r="K94" s="6">
        <v>17.0</v>
      </c>
      <c r="L94" s="6">
        <v>105.0</v>
      </c>
    </row>
    <row r="95">
      <c r="A95" s="6" t="s">
        <v>113</v>
      </c>
      <c r="B95" s="6" t="s">
        <v>45</v>
      </c>
      <c r="C95" s="6">
        <v>400.0</v>
      </c>
      <c r="D95" s="6">
        <v>1243.0</v>
      </c>
      <c r="E95" s="6">
        <v>37.0</v>
      </c>
      <c r="F95" s="6">
        <v>117.0</v>
      </c>
      <c r="G95" s="6">
        <v>3.42</v>
      </c>
      <c r="H95" s="6">
        <v>1243.0</v>
      </c>
      <c r="I95" s="6">
        <v>0.0</v>
      </c>
      <c r="J95" s="6">
        <v>1.0</v>
      </c>
      <c r="K95" s="6">
        <v>14.0</v>
      </c>
      <c r="L95" s="6">
        <v>102.0</v>
      </c>
    </row>
    <row r="96">
      <c r="A96" s="6" t="s">
        <v>138</v>
      </c>
      <c r="B96" s="6" t="s">
        <v>45</v>
      </c>
      <c r="C96" s="6">
        <v>400.0</v>
      </c>
      <c r="D96" s="6">
        <v>1256.0</v>
      </c>
      <c r="E96" s="6">
        <v>36.9</v>
      </c>
      <c r="F96" s="6">
        <v>119.0</v>
      </c>
      <c r="G96" s="6">
        <v>3.36</v>
      </c>
      <c r="H96" s="6">
        <v>1256.0</v>
      </c>
      <c r="I96" s="6">
        <v>0.0</v>
      </c>
      <c r="J96" s="6">
        <v>1.0</v>
      </c>
      <c r="K96" s="6">
        <v>19.0</v>
      </c>
      <c r="L96" s="6">
        <v>99.0</v>
      </c>
    </row>
    <row r="97">
      <c r="A97" s="6" t="s">
        <v>82</v>
      </c>
      <c r="B97" s="6" t="s">
        <v>45</v>
      </c>
      <c r="C97" s="6">
        <v>500.0</v>
      </c>
      <c r="D97" s="6">
        <v>1481.0</v>
      </c>
      <c r="E97" s="6">
        <v>61.5</v>
      </c>
      <c r="F97" s="6">
        <v>151.0</v>
      </c>
      <c r="G97" s="6">
        <v>3.31</v>
      </c>
      <c r="H97" s="6">
        <v>1481.0</v>
      </c>
      <c r="I97" s="6">
        <v>0.0</v>
      </c>
      <c r="J97" s="6">
        <v>2.0</v>
      </c>
      <c r="K97" s="6">
        <v>9.0</v>
      </c>
      <c r="L97" s="6">
        <v>140.0</v>
      </c>
    </row>
    <row r="98">
      <c r="A98" s="6" t="s">
        <v>142</v>
      </c>
      <c r="B98" s="6" t="s">
        <v>45</v>
      </c>
      <c r="C98" s="6">
        <v>500.0</v>
      </c>
      <c r="D98" s="6">
        <v>1488.0</v>
      </c>
      <c r="E98" s="6">
        <v>60.5</v>
      </c>
      <c r="F98" s="6">
        <v>150.0</v>
      </c>
      <c r="G98" s="6">
        <v>3.33</v>
      </c>
      <c r="H98" s="6">
        <v>1488.0</v>
      </c>
      <c r="I98" s="6">
        <v>0.0</v>
      </c>
      <c r="J98" s="6">
        <v>0.0</v>
      </c>
      <c r="K98" s="6">
        <v>20.0</v>
      </c>
      <c r="L98" s="6">
        <v>130.0</v>
      </c>
    </row>
    <row r="99">
      <c r="A99" s="6" t="s">
        <v>57</v>
      </c>
      <c r="B99" s="6" t="s">
        <v>45</v>
      </c>
      <c r="C99" s="6">
        <v>500.0</v>
      </c>
      <c r="D99" s="6">
        <v>1491.0</v>
      </c>
      <c r="E99" s="6">
        <v>62.0</v>
      </c>
      <c r="F99" s="6">
        <v>153.0</v>
      </c>
      <c r="G99" s="6">
        <v>3.27</v>
      </c>
      <c r="H99" s="6">
        <v>1491.0</v>
      </c>
      <c r="I99" s="6">
        <v>0.0</v>
      </c>
      <c r="J99" s="6">
        <v>0.0</v>
      </c>
      <c r="K99" s="6">
        <v>19.0</v>
      </c>
      <c r="L99" s="6">
        <v>134.0</v>
      </c>
    </row>
    <row r="100">
      <c r="A100" s="6" t="s">
        <v>48</v>
      </c>
      <c r="B100" s="6" t="s">
        <v>45</v>
      </c>
      <c r="C100" s="6">
        <v>500.0</v>
      </c>
      <c r="D100" s="6">
        <v>1436.0</v>
      </c>
      <c r="E100" s="6">
        <v>60.6</v>
      </c>
      <c r="F100" s="6">
        <v>150.0</v>
      </c>
      <c r="G100" s="6">
        <v>3.33</v>
      </c>
      <c r="H100" s="6">
        <v>1436.0</v>
      </c>
      <c r="I100" s="6">
        <v>0.0</v>
      </c>
      <c r="J100" s="6">
        <v>0.0</v>
      </c>
      <c r="K100" s="6">
        <v>14.0</v>
      </c>
      <c r="L100" s="6">
        <v>136.0</v>
      </c>
    </row>
    <row r="101">
      <c r="A101" s="6" t="s">
        <v>78</v>
      </c>
      <c r="B101" s="6" t="s">
        <v>45</v>
      </c>
      <c r="C101" s="6">
        <v>500.0</v>
      </c>
      <c r="D101" s="6">
        <v>1498.0</v>
      </c>
      <c r="E101" s="6">
        <v>60.9</v>
      </c>
      <c r="F101" s="6">
        <v>155.0</v>
      </c>
      <c r="G101" s="6">
        <v>3.23</v>
      </c>
      <c r="H101" s="6">
        <v>1498.0</v>
      </c>
      <c r="I101" s="6">
        <v>0.0</v>
      </c>
      <c r="J101" s="6">
        <v>1.0</v>
      </c>
      <c r="K101" s="6">
        <v>19.0</v>
      </c>
      <c r="L101" s="6">
        <v>135.0</v>
      </c>
    </row>
    <row r="102">
      <c r="A102" s="6" t="s">
        <v>90</v>
      </c>
      <c r="B102" s="6" t="s">
        <v>45</v>
      </c>
      <c r="C102" s="6">
        <v>750.0</v>
      </c>
      <c r="D102" s="6">
        <v>2132.0</v>
      </c>
      <c r="E102" s="6">
        <v>147.3</v>
      </c>
      <c r="F102" s="6">
        <v>226.0</v>
      </c>
      <c r="G102" s="6">
        <v>3.32</v>
      </c>
      <c r="H102" s="6">
        <v>2132.0</v>
      </c>
      <c r="I102" s="6">
        <v>0.0</v>
      </c>
      <c r="J102" s="6">
        <v>0.0</v>
      </c>
      <c r="K102" s="6">
        <v>16.0</v>
      </c>
      <c r="L102" s="6">
        <v>210.0</v>
      </c>
    </row>
    <row r="103">
      <c r="A103" s="6" t="s">
        <v>127</v>
      </c>
      <c r="B103" s="6" t="s">
        <v>45</v>
      </c>
      <c r="C103" s="6">
        <v>750.0</v>
      </c>
      <c r="D103" s="6">
        <v>2134.0</v>
      </c>
      <c r="E103" s="6">
        <v>146.9</v>
      </c>
      <c r="F103" s="6">
        <v>229.0</v>
      </c>
      <c r="G103" s="6">
        <v>3.28</v>
      </c>
      <c r="H103" s="6">
        <v>2134.0</v>
      </c>
      <c r="I103" s="6">
        <v>0.0</v>
      </c>
      <c r="J103" s="6">
        <v>2.0</v>
      </c>
      <c r="K103" s="6">
        <v>24.0</v>
      </c>
      <c r="L103" s="6">
        <v>203.0</v>
      </c>
    </row>
    <row r="104">
      <c r="A104" s="6" t="s">
        <v>81</v>
      </c>
      <c r="B104" s="6" t="s">
        <v>45</v>
      </c>
      <c r="C104" s="6">
        <v>750.0</v>
      </c>
      <c r="D104" s="6">
        <v>2152.0</v>
      </c>
      <c r="E104" s="6">
        <v>146.4</v>
      </c>
      <c r="F104" s="6">
        <v>223.0</v>
      </c>
      <c r="G104" s="6">
        <v>3.36</v>
      </c>
      <c r="H104" s="6">
        <v>2152.0</v>
      </c>
      <c r="I104" s="6">
        <v>0.0</v>
      </c>
      <c r="J104" s="6">
        <v>0.0</v>
      </c>
      <c r="K104" s="6">
        <v>19.0</v>
      </c>
      <c r="L104" s="6">
        <v>204.0</v>
      </c>
    </row>
    <row r="105">
      <c r="A105" s="6" t="s">
        <v>154</v>
      </c>
      <c r="B105" s="6" t="s">
        <v>45</v>
      </c>
      <c r="C105" s="6">
        <v>750.0</v>
      </c>
      <c r="D105" s="6">
        <v>2153.0</v>
      </c>
      <c r="E105" s="6">
        <v>145.9</v>
      </c>
      <c r="F105" s="6">
        <v>223.0</v>
      </c>
      <c r="G105" s="6">
        <v>3.36</v>
      </c>
      <c r="H105" s="6">
        <v>2153.0</v>
      </c>
      <c r="I105" s="6">
        <v>0.0</v>
      </c>
      <c r="J105" s="6">
        <v>0.0</v>
      </c>
      <c r="K105" s="6">
        <v>13.0</v>
      </c>
      <c r="L105" s="6">
        <v>210.0</v>
      </c>
    </row>
    <row r="106">
      <c r="A106" s="6" t="s">
        <v>129</v>
      </c>
      <c r="B106" s="6" t="s">
        <v>45</v>
      </c>
      <c r="C106" s="6">
        <v>750.0</v>
      </c>
      <c r="D106" s="6">
        <v>2120.0</v>
      </c>
      <c r="E106" s="6">
        <v>150.0</v>
      </c>
      <c r="F106" s="6">
        <v>225.0</v>
      </c>
      <c r="G106" s="6">
        <v>3.33</v>
      </c>
      <c r="H106" s="6">
        <v>2120.0</v>
      </c>
      <c r="I106" s="6">
        <v>0.0</v>
      </c>
      <c r="J106" s="6">
        <v>0.0</v>
      </c>
      <c r="K106" s="6">
        <v>14.0</v>
      </c>
      <c r="L106" s="6">
        <v>211.0</v>
      </c>
    </row>
    <row r="107">
      <c r="A107" s="6" t="s">
        <v>83</v>
      </c>
      <c r="B107" s="6" t="s">
        <v>45</v>
      </c>
      <c r="C107" s="6">
        <v>1000.0</v>
      </c>
      <c r="D107" s="6">
        <v>2468.0</v>
      </c>
      <c r="E107" s="6">
        <v>272.1</v>
      </c>
      <c r="F107" s="6">
        <v>304.0</v>
      </c>
      <c r="G107" s="6">
        <v>3.29</v>
      </c>
      <c r="H107" s="6">
        <v>2468.0</v>
      </c>
      <c r="I107" s="6">
        <v>0.0</v>
      </c>
      <c r="J107" s="6">
        <v>0.0</v>
      </c>
      <c r="K107" s="6">
        <v>21.0</v>
      </c>
      <c r="L107" s="6">
        <v>283.0</v>
      </c>
    </row>
    <row r="108">
      <c r="A108" s="6" t="s">
        <v>144</v>
      </c>
      <c r="B108" s="6" t="s">
        <v>45</v>
      </c>
      <c r="C108" s="6">
        <v>1000.0</v>
      </c>
      <c r="D108" s="6">
        <v>2720.0</v>
      </c>
      <c r="E108" s="6">
        <v>271.6</v>
      </c>
      <c r="F108" s="6">
        <v>302.0</v>
      </c>
      <c r="G108" s="6">
        <v>3.31</v>
      </c>
      <c r="H108" s="6">
        <v>2720.0</v>
      </c>
      <c r="I108" s="6">
        <v>0.0</v>
      </c>
      <c r="J108" s="6">
        <v>1.0</v>
      </c>
      <c r="K108" s="6">
        <v>11.0</v>
      </c>
      <c r="L108" s="6">
        <v>290.0</v>
      </c>
    </row>
    <row r="109">
      <c r="A109" s="6" t="s">
        <v>63</v>
      </c>
      <c r="B109" s="6" t="s">
        <v>45</v>
      </c>
      <c r="C109" s="6">
        <v>1000.0</v>
      </c>
      <c r="D109" s="6">
        <v>2708.0</v>
      </c>
      <c r="E109" s="6">
        <v>291.7</v>
      </c>
      <c r="F109" s="6">
        <v>305.0</v>
      </c>
      <c r="G109" s="6">
        <v>3.28</v>
      </c>
      <c r="H109" s="6">
        <v>2708.0</v>
      </c>
      <c r="I109" s="6">
        <v>0.0</v>
      </c>
      <c r="J109" s="6">
        <v>1.0</v>
      </c>
      <c r="K109" s="6">
        <v>22.0</v>
      </c>
      <c r="L109" s="6">
        <v>282.0</v>
      </c>
    </row>
    <row r="110">
      <c r="A110" s="6" t="s">
        <v>79</v>
      </c>
      <c r="B110" s="6" t="s">
        <v>45</v>
      </c>
      <c r="C110" s="6">
        <v>1000.0</v>
      </c>
      <c r="D110" s="6">
        <v>2722.0</v>
      </c>
      <c r="E110" s="6">
        <v>278.0</v>
      </c>
      <c r="F110" s="6">
        <v>305.0</v>
      </c>
      <c r="G110" s="6">
        <v>3.28</v>
      </c>
      <c r="H110" s="6">
        <v>2722.0</v>
      </c>
      <c r="I110" s="6">
        <v>0.0</v>
      </c>
      <c r="J110" s="6">
        <v>0.0</v>
      </c>
      <c r="K110" s="6">
        <v>19.0</v>
      </c>
      <c r="L110" s="6">
        <v>286.0</v>
      </c>
    </row>
    <row r="111">
      <c r="A111" s="6" t="s">
        <v>64</v>
      </c>
      <c r="B111" s="6" t="s">
        <v>45</v>
      </c>
      <c r="C111" s="6">
        <v>1000.0</v>
      </c>
      <c r="D111" s="6">
        <v>2722.0</v>
      </c>
      <c r="E111" s="6">
        <v>276.6</v>
      </c>
      <c r="F111" s="6">
        <v>300.0</v>
      </c>
      <c r="G111" s="6">
        <v>3.33</v>
      </c>
      <c r="H111" s="6">
        <v>2722.0</v>
      </c>
      <c r="I111" s="6">
        <v>0.0</v>
      </c>
      <c r="J111" s="6">
        <v>0.0</v>
      </c>
      <c r="K111" s="6">
        <v>23.0</v>
      </c>
      <c r="L111" s="6">
        <v>277.0</v>
      </c>
    </row>
  </sheetData>
  <autoFilter ref="$A$1:$L$11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63"/>
    <col customWidth="1" min="3" max="3" width="18.25"/>
    <col customWidth="1" min="4" max="4" width="12.63"/>
    <col customWidth="1" min="6" max="6" width="19.75"/>
    <col customWidth="1" min="7" max="7" width="15.63"/>
    <col customWidth="1" min="8" max="8" width="16.88"/>
    <col customWidth="1" min="9" max="9" width="20.25"/>
  </cols>
  <sheetData>
    <row r="1">
      <c r="A1" s="6" t="s">
        <v>38</v>
      </c>
      <c r="B1" s="6" t="s">
        <v>39</v>
      </c>
      <c r="C1" s="6" t="s">
        <v>40</v>
      </c>
      <c r="D1" s="6" t="s">
        <v>155</v>
      </c>
      <c r="E1" s="6" t="s">
        <v>156</v>
      </c>
      <c r="F1" s="6" t="s">
        <v>157</v>
      </c>
      <c r="G1" s="6" t="s">
        <v>158</v>
      </c>
      <c r="H1" s="6" t="s">
        <v>159</v>
      </c>
      <c r="I1" s="6" t="s">
        <v>160</v>
      </c>
      <c r="J1" s="6" t="s">
        <v>161</v>
      </c>
      <c r="K1" s="6" t="s">
        <v>162</v>
      </c>
      <c r="L1" s="6" t="s">
        <v>163</v>
      </c>
    </row>
    <row r="2">
      <c r="A2" s="6" t="s">
        <v>93</v>
      </c>
      <c r="B2" s="6" t="s">
        <v>53</v>
      </c>
      <c r="C2" s="6">
        <v>10.0</v>
      </c>
      <c r="D2" s="6">
        <v>185.0</v>
      </c>
      <c r="E2" s="6">
        <v>0.0</v>
      </c>
      <c r="F2" s="6">
        <v>3.0</v>
      </c>
      <c r="G2" s="6">
        <v>3.33</v>
      </c>
      <c r="H2" s="6">
        <v>70.0</v>
      </c>
      <c r="I2" s="6">
        <v>0.0</v>
      </c>
      <c r="J2" s="6">
        <v>1.0</v>
      </c>
      <c r="K2" s="6">
        <v>1.0</v>
      </c>
      <c r="L2" s="6">
        <v>1.0</v>
      </c>
    </row>
    <row r="3">
      <c r="A3" s="6" t="s">
        <v>36</v>
      </c>
      <c r="B3" s="6" t="s">
        <v>53</v>
      </c>
      <c r="C3" s="6">
        <v>10.0</v>
      </c>
      <c r="D3" s="6">
        <v>159.0</v>
      </c>
      <c r="E3" s="6">
        <v>0.0</v>
      </c>
      <c r="F3" s="6">
        <v>3.0</v>
      </c>
      <c r="G3" s="6">
        <v>3.33</v>
      </c>
      <c r="H3" s="6">
        <v>119.0</v>
      </c>
      <c r="I3" s="6">
        <v>0.0</v>
      </c>
      <c r="J3" s="6">
        <v>2.0</v>
      </c>
      <c r="K3" s="6">
        <v>1.0</v>
      </c>
      <c r="L3" s="6">
        <v>0.0</v>
      </c>
    </row>
    <row r="4">
      <c r="A4" s="6" t="s">
        <v>55</v>
      </c>
      <c r="B4" s="6" t="s">
        <v>53</v>
      </c>
      <c r="C4" s="6">
        <v>15.0</v>
      </c>
      <c r="D4" s="6">
        <v>378.0</v>
      </c>
      <c r="E4" s="6">
        <v>0.1</v>
      </c>
      <c r="F4" s="6">
        <v>5.0</v>
      </c>
      <c r="G4" s="6">
        <v>3.0</v>
      </c>
      <c r="H4" s="6">
        <v>158.0</v>
      </c>
      <c r="I4" s="6">
        <v>0.0</v>
      </c>
      <c r="J4" s="6">
        <v>3.0</v>
      </c>
      <c r="K4" s="6">
        <v>2.0</v>
      </c>
      <c r="L4" s="6">
        <v>0.0</v>
      </c>
    </row>
    <row r="5">
      <c r="A5" s="6" t="s">
        <v>141</v>
      </c>
      <c r="B5" s="6" t="s">
        <v>53</v>
      </c>
      <c r="C5" s="6">
        <v>15.0</v>
      </c>
      <c r="D5" s="6">
        <v>247.0</v>
      </c>
      <c r="E5" s="6">
        <v>0.1</v>
      </c>
      <c r="F5" s="6">
        <v>4.0</v>
      </c>
      <c r="G5" s="6">
        <v>3.75</v>
      </c>
      <c r="H5" s="6">
        <v>107.0</v>
      </c>
      <c r="I5" s="6">
        <v>0.0</v>
      </c>
      <c r="J5" s="6">
        <v>2.0</v>
      </c>
      <c r="K5" s="6">
        <v>1.0</v>
      </c>
      <c r="L5" s="6">
        <v>1.0</v>
      </c>
    </row>
    <row r="6">
      <c r="A6" s="6" t="s">
        <v>109</v>
      </c>
      <c r="B6" s="6" t="s">
        <v>53</v>
      </c>
      <c r="C6" s="6">
        <v>20.0</v>
      </c>
      <c r="D6" s="6">
        <v>419.0</v>
      </c>
      <c r="E6" s="6">
        <v>0.1</v>
      </c>
      <c r="F6" s="6">
        <v>6.0</v>
      </c>
      <c r="G6" s="6">
        <v>3.33</v>
      </c>
      <c r="H6" s="6">
        <v>179.0</v>
      </c>
      <c r="I6" s="6">
        <v>0.0</v>
      </c>
      <c r="J6" s="6">
        <v>2.0</v>
      </c>
      <c r="K6" s="6">
        <v>2.0</v>
      </c>
      <c r="L6" s="6">
        <v>2.0</v>
      </c>
    </row>
    <row r="7">
      <c r="A7" s="6" t="s">
        <v>85</v>
      </c>
      <c r="B7" s="6" t="s">
        <v>53</v>
      </c>
      <c r="C7" s="6">
        <v>20.0</v>
      </c>
      <c r="D7" s="6">
        <v>363.0</v>
      </c>
      <c r="E7" s="6">
        <v>0.1</v>
      </c>
      <c r="F7" s="6">
        <v>7.0</v>
      </c>
      <c r="G7" s="6">
        <v>2.86</v>
      </c>
      <c r="H7" s="6">
        <v>168.0</v>
      </c>
      <c r="I7" s="6">
        <v>0.0</v>
      </c>
      <c r="J7" s="6">
        <v>4.0</v>
      </c>
      <c r="K7" s="6">
        <v>3.0</v>
      </c>
      <c r="L7" s="6">
        <v>0.0</v>
      </c>
    </row>
    <row r="8">
      <c r="A8" s="6" t="s">
        <v>105</v>
      </c>
      <c r="B8" s="6" t="s">
        <v>53</v>
      </c>
      <c r="C8" s="6">
        <v>25.0</v>
      </c>
      <c r="D8" s="6">
        <v>467.0</v>
      </c>
      <c r="E8" s="6">
        <v>0.2</v>
      </c>
      <c r="F8" s="6">
        <v>10.0</v>
      </c>
      <c r="G8" s="6">
        <v>2.5</v>
      </c>
      <c r="H8" s="6">
        <v>217.0</v>
      </c>
      <c r="I8" s="6">
        <v>0.0</v>
      </c>
      <c r="J8" s="6">
        <v>7.0</v>
      </c>
      <c r="K8" s="6">
        <v>2.0</v>
      </c>
      <c r="L8" s="6">
        <v>1.0</v>
      </c>
    </row>
    <row r="9">
      <c r="A9" s="6" t="s">
        <v>126</v>
      </c>
      <c r="B9" s="6" t="s">
        <v>53</v>
      </c>
      <c r="C9" s="6">
        <v>30.0</v>
      </c>
      <c r="D9" s="6">
        <v>513.0</v>
      </c>
      <c r="E9" s="6">
        <v>0.2</v>
      </c>
      <c r="F9" s="6">
        <v>10.0</v>
      </c>
      <c r="G9" s="6">
        <v>3.0</v>
      </c>
      <c r="H9" s="6">
        <v>283.0</v>
      </c>
      <c r="I9" s="6">
        <v>0.0</v>
      </c>
      <c r="J9" s="6">
        <v>6.0</v>
      </c>
      <c r="K9" s="6">
        <v>3.0</v>
      </c>
      <c r="L9" s="6">
        <v>1.0</v>
      </c>
    </row>
    <row r="10">
      <c r="A10" s="6" t="s">
        <v>65</v>
      </c>
      <c r="B10" s="6" t="s">
        <v>53</v>
      </c>
      <c r="C10" s="6">
        <v>30.0</v>
      </c>
      <c r="D10" s="6">
        <v>757.0</v>
      </c>
      <c r="E10" s="6">
        <v>0.2</v>
      </c>
      <c r="F10" s="6">
        <v>10.0</v>
      </c>
      <c r="G10" s="6">
        <v>3.0</v>
      </c>
      <c r="H10" s="6">
        <v>232.0</v>
      </c>
      <c r="I10" s="6">
        <v>0.0</v>
      </c>
      <c r="J10" s="6">
        <v>5.0</v>
      </c>
      <c r="K10" s="6">
        <v>3.0</v>
      </c>
      <c r="L10" s="6">
        <v>2.0</v>
      </c>
    </row>
    <row r="11">
      <c r="A11" s="6" t="s">
        <v>114</v>
      </c>
      <c r="B11" s="6" t="s">
        <v>53</v>
      </c>
      <c r="C11" s="6">
        <v>40.0</v>
      </c>
      <c r="D11" s="6">
        <v>881.0</v>
      </c>
      <c r="E11" s="6">
        <v>0.4</v>
      </c>
      <c r="F11" s="6">
        <v>13.0</v>
      </c>
      <c r="G11" s="6">
        <v>3.08</v>
      </c>
      <c r="H11" s="6">
        <v>256.0</v>
      </c>
      <c r="I11" s="6">
        <v>0.0</v>
      </c>
      <c r="J11" s="6">
        <v>6.0</v>
      </c>
      <c r="K11" s="6">
        <v>4.0</v>
      </c>
      <c r="L11" s="6">
        <v>3.0</v>
      </c>
    </row>
    <row r="12">
      <c r="A12" s="6" t="s">
        <v>69</v>
      </c>
      <c r="B12" s="6" t="s">
        <v>53</v>
      </c>
      <c r="C12" s="6">
        <v>50.0</v>
      </c>
      <c r="D12" s="6">
        <v>1105.0</v>
      </c>
      <c r="E12" s="6">
        <v>0.6</v>
      </c>
      <c r="F12" s="6">
        <v>16.0</v>
      </c>
      <c r="G12" s="6">
        <v>3.13</v>
      </c>
      <c r="H12" s="6">
        <v>445.0</v>
      </c>
      <c r="I12" s="6">
        <v>0.0</v>
      </c>
      <c r="J12" s="6">
        <v>8.0</v>
      </c>
      <c r="K12" s="6">
        <v>6.0</v>
      </c>
      <c r="L12" s="6">
        <v>2.0</v>
      </c>
    </row>
    <row r="13">
      <c r="A13" s="6" t="s">
        <v>150</v>
      </c>
      <c r="B13" s="6" t="s">
        <v>53</v>
      </c>
      <c r="C13" s="6">
        <v>50.0</v>
      </c>
      <c r="D13" s="6">
        <v>1302.0</v>
      </c>
      <c r="E13" s="6">
        <v>0.5</v>
      </c>
      <c r="F13" s="6">
        <v>14.0</v>
      </c>
      <c r="G13" s="6">
        <v>3.57</v>
      </c>
      <c r="H13" s="6">
        <v>452.0</v>
      </c>
      <c r="I13" s="6">
        <v>0.0</v>
      </c>
      <c r="J13" s="6">
        <v>6.0</v>
      </c>
      <c r="K13" s="6">
        <v>4.0</v>
      </c>
      <c r="L13" s="6">
        <v>4.0</v>
      </c>
    </row>
    <row r="14">
      <c r="A14" s="6" t="s">
        <v>123</v>
      </c>
      <c r="B14" s="6" t="s">
        <v>53</v>
      </c>
      <c r="C14" s="6">
        <v>75.0</v>
      </c>
      <c r="D14" s="6">
        <v>1327.0</v>
      </c>
      <c r="E14" s="6">
        <v>1.3</v>
      </c>
      <c r="F14" s="6">
        <v>24.0</v>
      </c>
      <c r="G14" s="6">
        <v>3.13</v>
      </c>
      <c r="H14" s="6">
        <v>582.0</v>
      </c>
      <c r="I14" s="6">
        <v>0.0</v>
      </c>
      <c r="J14" s="6">
        <v>10.0</v>
      </c>
      <c r="K14" s="6">
        <v>7.0</v>
      </c>
      <c r="L14" s="6">
        <v>7.0</v>
      </c>
    </row>
    <row r="15">
      <c r="A15" s="6" t="s">
        <v>61</v>
      </c>
      <c r="B15" s="6" t="s">
        <v>53</v>
      </c>
      <c r="C15" s="6">
        <v>100.0</v>
      </c>
      <c r="D15" s="6">
        <v>1196.0</v>
      </c>
      <c r="E15" s="6">
        <v>2.3</v>
      </c>
      <c r="F15" s="6">
        <v>32.0</v>
      </c>
      <c r="G15" s="6">
        <v>3.13</v>
      </c>
      <c r="H15" s="6">
        <v>841.0</v>
      </c>
      <c r="I15" s="6">
        <v>0.0</v>
      </c>
      <c r="J15" s="6">
        <v>21.0</v>
      </c>
      <c r="K15" s="6">
        <v>6.0</v>
      </c>
      <c r="L15" s="6">
        <v>5.0</v>
      </c>
    </row>
    <row r="16">
      <c r="A16" s="6" t="s">
        <v>100</v>
      </c>
      <c r="B16" s="6" t="s">
        <v>53</v>
      </c>
      <c r="C16" s="6">
        <v>100.0</v>
      </c>
      <c r="D16" s="6">
        <v>1624.0</v>
      </c>
      <c r="E16" s="6">
        <v>2.2</v>
      </c>
      <c r="F16" s="6">
        <v>32.0</v>
      </c>
      <c r="G16" s="6">
        <v>3.13</v>
      </c>
      <c r="H16" s="6">
        <v>754.0</v>
      </c>
      <c r="I16" s="6">
        <v>0.0</v>
      </c>
      <c r="J16" s="6">
        <v>17.0</v>
      </c>
      <c r="K16" s="6">
        <v>6.0</v>
      </c>
      <c r="L16" s="6">
        <v>9.0</v>
      </c>
    </row>
    <row r="17">
      <c r="A17" s="6" t="s">
        <v>94</v>
      </c>
      <c r="B17" s="6" t="s">
        <v>53</v>
      </c>
      <c r="C17" s="6">
        <v>150.0</v>
      </c>
      <c r="D17" s="6">
        <v>1809.0</v>
      </c>
      <c r="E17" s="6">
        <v>4.9</v>
      </c>
      <c r="F17" s="6">
        <v>47.0</v>
      </c>
      <c r="G17" s="6">
        <v>3.19</v>
      </c>
      <c r="H17" s="6">
        <v>1314.0</v>
      </c>
      <c r="I17" s="6">
        <v>0.0</v>
      </c>
      <c r="J17" s="6">
        <v>29.0</v>
      </c>
      <c r="K17" s="6">
        <v>8.0</v>
      </c>
      <c r="L17" s="6">
        <v>10.0</v>
      </c>
    </row>
    <row r="18">
      <c r="A18" s="6" t="s">
        <v>132</v>
      </c>
      <c r="B18" s="6" t="s">
        <v>53</v>
      </c>
      <c r="C18" s="6">
        <v>208.0</v>
      </c>
      <c r="D18" s="6">
        <v>2203.0</v>
      </c>
      <c r="E18" s="6">
        <v>9.2</v>
      </c>
      <c r="F18" s="6">
        <v>63.0</v>
      </c>
      <c r="G18" s="6">
        <v>3.3</v>
      </c>
      <c r="H18" s="6">
        <v>1763.0</v>
      </c>
      <c r="I18" s="6">
        <v>1.0</v>
      </c>
      <c r="J18" s="6">
        <v>37.0</v>
      </c>
      <c r="K18" s="6">
        <v>11.0</v>
      </c>
      <c r="L18" s="6">
        <v>15.0</v>
      </c>
    </row>
    <row r="19">
      <c r="A19" s="6" t="s">
        <v>110</v>
      </c>
      <c r="B19" s="6" t="s">
        <v>53</v>
      </c>
      <c r="C19" s="6">
        <v>208.0</v>
      </c>
      <c r="D19" s="6">
        <v>2673.0</v>
      </c>
      <c r="E19" s="6">
        <v>9.6</v>
      </c>
      <c r="F19" s="6">
        <v>62.0</v>
      </c>
      <c r="G19" s="6">
        <v>3.35</v>
      </c>
      <c r="H19" s="6">
        <v>1568.0</v>
      </c>
      <c r="I19" s="6">
        <v>0.0</v>
      </c>
      <c r="J19" s="6">
        <v>27.0</v>
      </c>
      <c r="K19" s="6">
        <v>13.0</v>
      </c>
      <c r="L19" s="6">
        <v>22.0</v>
      </c>
    </row>
    <row r="20">
      <c r="A20" s="6" t="s">
        <v>52</v>
      </c>
      <c r="B20" s="6" t="s">
        <v>53</v>
      </c>
      <c r="C20" s="6">
        <v>300.0</v>
      </c>
      <c r="D20" s="6">
        <v>2960.0</v>
      </c>
      <c r="E20" s="6">
        <v>20.6</v>
      </c>
      <c r="F20" s="6">
        <v>100.0</v>
      </c>
      <c r="G20" s="6">
        <v>3.0</v>
      </c>
      <c r="H20" s="6">
        <v>2150.0</v>
      </c>
      <c r="I20" s="6">
        <v>0.0</v>
      </c>
      <c r="J20" s="6">
        <v>55.0</v>
      </c>
      <c r="K20" s="6">
        <v>20.0</v>
      </c>
      <c r="L20" s="6">
        <v>25.0</v>
      </c>
    </row>
    <row r="21">
      <c r="A21" s="6" t="s">
        <v>86</v>
      </c>
      <c r="B21" s="6" t="s">
        <v>53</v>
      </c>
      <c r="C21" s="6">
        <v>500.0</v>
      </c>
      <c r="D21" s="6">
        <v>4039.0</v>
      </c>
      <c r="E21" s="6">
        <v>64.1</v>
      </c>
      <c r="F21" s="6">
        <v>167.0</v>
      </c>
      <c r="G21" s="6">
        <v>2.99</v>
      </c>
      <c r="H21" s="6">
        <v>3254.0</v>
      </c>
      <c r="I21" s="6">
        <v>0.0</v>
      </c>
      <c r="J21" s="6">
        <v>87.0</v>
      </c>
      <c r="K21" s="6">
        <v>29.0</v>
      </c>
      <c r="L21" s="6">
        <v>51.0</v>
      </c>
    </row>
    <row r="22">
      <c r="A22" s="6" t="s">
        <v>125</v>
      </c>
      <c r="B22" s="6" t="s">
        <v>45</v>
      </c>
      <c r="C22" s="6">
        <v>10.0</v>
      </c>
      <c r="D22" s="6">
        <v>13.0</v>
      </c>
      <c r="E22" s="6">
        <v>0.0</v>
      </c>
      <c r="F22" s="6">
        <v>4.0</v>
      </c>
      <c r="G22" s="6">
        <v>2.5</v>
      </c>
      <c r="H22" s="6">
        <v>13.0</v>
      </c>
      <c r="I22" s="6">
        <v>0.0</v>
      </c>
      <c r="J22" s="6">
        <v>0.0</v>
      </c>
      <c r="K22" s="6">
        <v>0.0</v>
      </c>
      <c r="L22" s="6">
        <v>4.0</v>
      </c>
    </row>
    <row r="23">
      <c r="A23" s="6" t="s">
        <v>111</v>
      </c>
      <c r="B23" s="6" t="s">
        <v>45</v>
      </c>
      <c r="C23" s="6">
        <v>10.0</v>
      </c>
      <c r="D23" s="6">
        <v>12.0</v>
      </c>
      <c r="E23" s="6">
        <v>0.0</v>
      </c>
      <c r="F23" s="6">
        <v>4.0</v>
      </c>
      <c r="G23" s="6">
        <v>2.5</v>
      </c>
      <c r="H23" s="6">
        <v>12.0</v>
      </c>
      <c r="I23" s="6">
        <v>0.0</v>
      </c>
      <c r="J23" s="6">
        <v>0.0</v>
      </c>
      <c r="K23" s="6">
        <v>1.0</v>
      </c>
      <c r="L23" s="6">
        <v>3.0</v>
      </c>
    </row>
    <row r="24">
      <c r="A24" s="6" t="s">
        <v>133</v>
      </c>
      <c r="B24" s="6" t="s">
        <v>45</v>
      </c>
      <c r="C24" s="6">
        <v>10.0</v>
      </c>
      <c r="D24" s="6">
        <v>13.0</v>
      </c>
      <c r="E24" s="6">
        <v>0.0</v>
      </c>
      <c r="F24" s="6">
        <v>4.0</v>
      </c>
      <c r="G24" s="6">
        <v>2.5</v>
      </c>
      <c r="H24" s="6">
        <v>13.0</v>
      </c>
      <c r="I24" s="6">
        <v>0.0</v>
      </c>
      <c r="J24" s="6">
        <v>0.0</v>
      </c>
      <c r="K24" s="6">
        <v>0.0</v>
      </c>
      <c r="L24" s="6">
        <v>4.0</v>
      </c>
    </row>
    <row r="25">
      <c r="A25" s="6" t="s">
        <v>124</v>
      </c>
      <c r="B25" s="6" t="s">
        <v>45</v>
      </c>
      <c r="C25" s="6">
        <v>10.0</v>
      </c>
      <c r="D25" s="6">
        <v>13.0</v>
      </c>
      <c r="E25" s="6">
        <v>0.0</v>
      </c>
      <c r="F25" s="6">
        <v>4.0</v>
      </c>
      <c r="G25" s="6">
        <v>2.5</v>
      </c>
      <c r="H25" s="6">
        <v>13.0</v>
      </c>
      <c r="I25" s="6">
        <v>0.0</v>
      </c>
      <c r="J25" s="6">
        <v>0.0</v>
      </c>
      <c r="K25" s="6">
        <v>1.0</v>
      </c>
      <c r="L25" s="6">
        <v>3.0</v>
      </c>
    </row>
    <row r="26">
      <c r="A26" s="6" t="s">
        <v>49</v>
      </c>
      <c r="B26" s="6" t="s">
        <v>45</v>
      </c>
      <c r="C26" s="6">
        <v>10.0</v>
      </c>
      <c r="D26" s="6">
        <v>20.0</v>
      </c>
      <c r="E26" s="6">
        <v>0.0</v>
      </c>
      <c r="F26" s="6">
        <v>4.0</v>
      </c>
      <c r="G26" s="6">
        <v>2.5</v>
      </c>
      <c r="H26" s="6">
        <v>20.0</v>
      </c>
      <c r="I26" s="6">
        <v>0.0</v>
      </c>
      <c r="J26" s="6">
        <v>0.0</v>
      </c>
      <c r="K26" s="6">
        <v>0.0</v>
      </c>
      <c r="L26" s="6">
        <v>4.0</v>
      </c>
    </row>
    <row r="27">
      <c r="A27" s="6" t="s">
        <v>130</v>
      </c>
      <c r="B27" s="6" t="s">
        <v>45</v>
      </c>
      <c r="C27" s="6">
        <v>15.0</v>
      </c>
      <c r="D27" s="6">
        <v>20.0</v>
      </c>
      <c r="E27" s="6">
        <v>0.1</v>
      </c>
      <c r="F27" s="6">
        <v>5.0</v>
      </c>
      <c r="G27" s="6">
        <v>3.0</v>
      </c>
      <c r="H27" s="6">
        <v>20.0</v>
      </c>
      <c r="I27" s="6">
        <v>0.0</v>
      </c>
      <c r="J27" s="6">
        <v>0.0</v>
      </c>
      <c r="K27" s="6">
        <v>1.0</v>
      </c>
      <c r="L27" s="6">
        <v>4.0</v>
      </c>
    </row>
    <row r="28">
      <c r="A28" s="6" t="s">
        <v>140</v>
      </c>
      <c r="B28" s="6" t="s">
        <v>45</v>
      </c>
      <c r="C28" s="6">
        <v>15.0</v>
      </c>
      <c r="D28" s="6">
        <v>18.0</v>
      </c>
      <c r="E28" s="6">
        <v>0.1</v>
      </c>
      <c r="F28" s="6">
        <v>5.0</v>
      </c>
      <c r="G28" s="6">
        <v>3.0</v>
      </c>
      <c r="H28" s="6">
        <v>18.0</v>
      </c>
      <c r="I28" s="6">
        <v>0.0</v>
      </c>
      <c r="J28" s="6">
        <v>0.0</v>
      </c>
      <c r="K28" s="6">
        <v>0.0</v>
      </c>
      <c r="L28" s="6">
        <v>5.0</v>
      </c>
    </row>
    <row r="29">
      <c r="A29" s="6" t="s">
        <v>60</v>
      </c>
      <c r="B29" s="6" t="s">
        <v>45</v>
      </c>
      <c r="C29" s="6">
        <v>15.0</v>
      </c>
      <c r="D29" s="6">
        <v>19.0</v>
      </c>
      <c r="E29" s="6">
        <v>0.1</v>
      </c>
      <c r="F29" s="6">
        <v>5.0</v>
      </c>
      <c r="G29" s="6">
        <v>3.0</v>
      </c>
      <c r="H29" s="6">
        <v>19.0</v>
      </c>
      <c r="I29" s="6">
        <v>0.0</v>
      </c>
      <c r="J29" s="6">
        <v>0.0</v>
      </c>
      <c r="K29" s="6">
        <v>0.0</v>
      </c>
      <c r="L29" s="6">
        <v>5.0</v>
      </c>
    </row>
    <row r="30">
      <c r="A30" s="6" t="s">
        <v>59</v>
      </c>
      <c r="B30" s="6" t="s">
        <v>45</v>
      </c>
      <c r="C30" s="6">
        <v>15.0</v>
      </c>
      <c r="D30" s="6">
        <v>23.0</v>
      </c>
      <c r="E30" s="6">
        <v>0.1</v>
      </c>
      <c r="F30" s="6">
        <v>5.0</v>
      </c>
      <c r="G30" s="6">
        <v>3.0</v>
      </c>
      <c r="H30" s="6">
        <v>23.0</v>
      </c>
      <c r="I30" s="6">
        <v>0.0</v>
      </c>
      <c r="J30" s="6">
        <v>0.0</v>
      </c>
      <c r="K30" s="6">
        <v>0.0</v>
      </c>
      <c r="L30" s="6">
        <v>5.0</v>
      </c>
    </row>
    <row r="31">
      <c r="A31" s="6" t="s">
        <v>50</v>
      </c>
      <c r="B31" s="6" t="s">
        <v>45</v>
      </c>
      <c r="C31" s="6">
        <v>15.0</v>
      </c>
      <c r="D31" s="6">
        <v>22.0</v>
      </c>
      <c r="E31" s="6">
        <v>0.1</v>
      </c>
      <c r="F31" s="6">
        <v>5.0</v>
      </c>
      <c r="G31" s="6">
        <v>3.0</v>
      </c>
      <c r="H31" s="6">
        <v>22.0</v>
      </c>
      <c r="I31" s="6">
        <v>0.0</v>
      </c>
      <c r="J31" s="6">
        <v>0.0</v>
      </c>
      <c r="K31" s="6">
        <v>1.0</v>
      </c>
      <c r="L31" s="6">
        <v>4.0</v>
      </c>
    </row>
    <row r="32">
      <c r="A32" s="6" t="s">
        <v>95</v>
      </c>
      <c r="B32" s="6" t="s">
        <v>45</v>
      </c>
      <c r="C32" s="6">
        <v>20.0</v>
      </c>
      <c r="D32" s="6">
        <v>34.0</v>
      </c>
      <c r="E32" s="6">
        <v>0.1</v>
      </c>
      <c r="F32" s="6">
        <v>6.0</v>
      </c>
      <c r="G32" s="6">
        <v>3.33</v>
      </c>
      <c r="H32" s="6">
        <v>34.0</v>
      </c>
      <c r="I32" s="6">
        <v>0.0</v>
      </c>
      <c r="J32" s="6">
        <v>0.0</v>
      </c>
      <c r="K32" s="6">
        <v>0.0</v>
      </c>
      <c r="L32" s="6">
        <v>6.0</v>
      </c>
    </row>
    <row r="33">
      <c r="A33" s="6" t="s">
        <v>73</v>
      </c>
      <c r="B33" s="6" t="s">
        <v>45</v>
      </c>
      <c r="C33" s="6">
        <v>20.0</v>
      </c>
      <c r="D33" s="6">
        <v>31.0</v>
      </c>
      <c r="E33" s="6">
        <v>0.1</v>
      </c>
      <c r="F33" s="6">
        <v>6.0</v>
      </c>
      <c r="G33" s="6">
        <v>3.33</v>
      </c>
      <c r="H33" s="6">
        <v>31.0</v>
      </c>
      <c r="I33" s="6">
        <v>0.0</v>
      </c>
      <c r="J33" s="6">
        <v>0.0</v>
      </c>
      <c r="K33" s="6">
        <v>0.0</v>
      </c>
      <c r="L33" s="6">
        <v>6.0</v>
      </c>
    </row>
    <row r="34">
      <c r="A34" s="6" t="s">
        <v>46</v>
      </c>
      <c r="B34" s="6" t="s">
        <v>45</v>
      </c>
      <c r="C34" s="6">
        <v>20.0</v>
      </c>
      <c r="D34" s="6">
        <v>25.0</v>
      </c>
      <c r="E34" s="6">
        <v>0.1</v>
      </c>
      <c r="F34" s="6">
        <v>6.0</v>
      </c>
      <c r="G34" s="6">
        <v>3.33</v>
      </c>
      <c r="H34" s="6">
        <v>25.0</v>
      </c>
      <c r="I34" s="6">
        <v>0.0</v>
      </c>
      <c r="J34" s="6">
        <v>0.0</v>
      </c>
      <c r="K34" s="6">
        <v>0.0</v>
      </c>
      <c r="L34" s="6">
        <v>6.0</v>
      </c>
    </row>
    <row r="35">
      <c r="A35" s="6" t="s">
        <v>103</v>
      </c>
      <c r="B35" s="6" t="s">
        <v>45</v>
      </c>
      <c r="C35" s="6">
        <v>20.0</v>
      </c>
      <c r="D35" s="6">
        <v>26.0</v>
      </c>
      <c r="E35" s="6">
        <v>0.1</v>
      </c>
      <c r="F35" s="6">
        <v>7.0</v>
      </c>
      <c r="G35" s="6">
        <v>2.86</v>
      </c>
      <c r="H35" s="6">
        <v>26.0</v>
      </c>
      <c r="I35" s="6">
        <v>0.0</v>
      </c>
      <c r="J35" s="6">
        <v>0.0</v>
      </c>
      <c r="K35" s="6">
        <v>1.0</v>
      </c>
      <c r="L35" s="6">
        <v>6.0</v>
      </c>
    </row>
    <row r="36">
      <c r="A36" s="6" t="s">
        <v>131</v>
      </c>
      <c r="B36" s="6" t="s">
        <v>45</v>
      </c>
      <c r="C36" s="6">
        <v>20.0</v>
      </c>
      <c r="D36" s="6">
        <v>35.0</v>
      </c>
      <c r="E36" s="6">
        <v>0.1</v>
      </c>
      <c r="F36" s="6">
        <v>7.0</v>
      </c>
      <c r="G36" s="6">
        <v>2.86</v>
      </c>
      <c r="H36" s="6">
        <v>35.0</v>
      </c>
      <c r="I36" s="6">
        <v>0.0</v>
      </c>
      <c r="J36" s="6">
        <v>0.0</v>
      </c>
      <c r="K36" s="6">
        <v>1.0</v>
      </c>
      <c r="L36" s="6">
        <v>6.0</v>
      </c>
    </row>
    <row r="37">
      <c r="A37" s="6" t="s">
        <v>115</v>
      </c>
      <c r="B37" s="6" t="s">
        <v>45</v>
      </c>
      <c r="C37" s="6">
        <v>25.0</v>
      </c>
      <c r="D37" s="6">
        <v>34.0</v>
      </c>
      <c r="E37" s="6">
        <v>0.2</v>
      </c>
      <c r="F37" s="6">
        <v>8.0</v>
      </c>
      <c r="G37" s="6">
        <v>3.13</v>
      </c>
      <c r="H37" s="6">
        <v>34.0</v>
      </c>
      <c r="I37" s="6">
        <v>0.0</v>
      </c>
      <c r="J37" s="6">
        <v>0.0</v>
      </c>
      <c r="K37" s="6">
        <v>0.0</v>
      </c>
      <c r="L37" s="6">
        <v>8.0</v>
      </c>
    </row>
    <row r="38">
      <c r="A38" s="6" t="s">
        <v>71</v>
      </c>
      <c r="B38" s="6" t="s">
        <v>45</v>
      </c>
      <c r="C38" s="6">
        <v>25.0</v>
      </c>
      <c r="D38" s="6">
        <v>44.0</v>
      </c>
      <c r="E38" s="6">
        <v>0.2</v>
      </c>
      <c r="F38" s="6">
        <v>8.0</v>
      </c>
      <c r="G38" s="6">
        <v>3.13</v>
      </c>
      <c r="H38" s="6">
        <v>44.0</v>
      </c>
      <c r="I38" s="6">
        <v>0.0</v>
      </c>
      <c r="J38" s="6">
        <v>0.0</v>
      </c>
      <c r="K38" s="6">
        <v>1.0</v>
      </c>
      <c r="L38" s="6">
        <v>7.0</v>
      </c>
    </row>
    <row r="39">
      <c r="A39" s="6" t="s">
        <v>87</v>
      </c>
      <c r="B39" s="6" t="s">
        <v>45</v>
      </c>
      <c r="C39" s="6">
        <v>25.0</v>
      </c>
      <c r="D39" s="6">
        <v>41.0</v>
      </c>
      <c r="E39" s="6">
        <v>0.2</v>
      </c>
      <c r="F39" s="6">
        <v>8.0</v>
      </c>
      <c r="G39" s="6">
        <v>3.13</v>
      </c>
      <c r="H39" s="6">
        <v>41.0</v>
      </c>
      <c r="I39" s="6">
        <v>0.0</v>
      </c>
      <c r="J39" s="6">
        <v>0.0</v>
      </c>
      <c r="K39" s="6">
        <v>1.0</v>
      </c>
      <c r="L39" s="6">
        <v>7.0</v>
      </c>
    </row>
    <row r="40">
      <c r="A40" s="6" t="s">
        <v>44</v>
      </c>
      <c r="B40" s="6" t="s">
        <v>45</v>
      </c>
      <c r="C40" s="6">
        <v>25.0</v>
      </c>
      <c r="D40" s="6">
        <v>43.0</v>
      </c>
      <c r="E40" s="6">
        <v>0.2</v>
      </c>
      <c r="F40" s="6">
        <v>9.0</v>
      </c>
      <c r="G40" s="6">
        <v>2.78</v>
      </c>
      <c r="H40" s="6">
        <v>43.0</v>
      </c>
      <c r="I40" s="6">
        <v>0.0</v>
      </c>
      <c r="J40" s="6">
        <v>0.0</v>
      </c>
      <c r="K40" s="6">
        <v>1.0</v>
      </c>
      <c r="L40" s="6">
        <v>8.0</v>
      </c>
    </row>
    <row r="41">
      <c r="A41" s="6" t="s">
        <v>134</v>
      </c>
      <c r="B41" s="6" t="s">
        <v>45</v>
      </c>
      <c r="C41" s="6">
        <v>25.0</v>
      </c>
      <c r="D41" s="6">
        <v>45.0</v>
      </c>
      <c r="E41" s="6">
        <v>0.2</v>
      </c>
      <c r="F41" s="6">
        <v>8.0</v>
      </c>
      <c r="G41" s="6">
        <v>3.13</v>
      </c>
      <c r="H41" s="6">
        <v>45.0</v>
      </c>
      <c r="I41" s="6">
        <v>0.0</v>
      </c>
      <c r="J41" s="6">
        <v>0.0</v>
      </c>
      <c r="K41" s="6">
        <v>0.0</v>
      </c>
      <c r="L41" s="6">
        <v>8.0</v>
      </c>
    </row>
    <row r="42">
      <c r="A42" s="6" t="s">
        <v>153</v>
      </c>
      <c r="B42" s="6" t="s">
        <v>45</v>
      </c>
      <c r="C42" s="6">
        <v>30.0</v>
      </c>
      <c r="D42" s="6">
        <v>54.0</v>
      </c>
      <c r="E42" s="6">
        <v>0.2</v>
      </c>
      <c r="F42" s="6">
        <v>8.0</v>
      </c>
      <c r="G42" s="6">
        <v>3.75</v>
      </c>
      <c r="H42" s="6">
        <v>54.0</v>
      </c>
      <c r="I42" s="6">
        <v>0.0</v>
      </c>
      <c r="J42" s="6">
        <v>0.0</v>
      </c>
      <c r="K42" s="6">
        <v>0.0</v>
      </c>
      <c r="L42" s="6">
        <v>8.0</v>
      </c>
    </row>
    <row r="43">
      <c r="A43" s="6" t="s">
        <v>51</v>
      </c>
      <c r="B43" s="6" t="s">
        <v>45</v>
      </c>
      <c r="C43" s="6">
        <v>30.0</v>
      </c>
      <c r="D43" s="6">
        <v>59.0</v>
      </c>
      <c r="E43" s="6">
        <v>0.2</v>
      </c>
      <c r="F43" s="6">
        <v>9.0</v>
      </c>
      <c r="G43" s="6">
        <v>3.33</v>
      </c>
      <c r="H43" s="6">
        <v>59.0</v>
      </c>
      <c r="I43" s="6">
        <v>0.0</v>
      </c>
      <c r="J43" s="6">
        <v>0.0</v>
      </c>
      <c r="K43" s="6">
        <v>0.0</v>
      </c>
      <c r="L43" s="6">
        <v>9.0</v>
      </c>
    </row>
    <row r="44">
      <c r="A44" s="6" t="s">
        <v>96</v>
      </c>
      <c r="B44" s="6" t="s">
        <v>45</v>
      </c>
      <c r="C44" s="6">
        <v>30.0</v>
      </c>
      <c r="D44" s="6">
        <v>64.0</v>
      </c>
      <c r="E44" s="6">
        <v>0.3</v>
      </c>
      <c r="F44" s="6">
        <v>10.0</v>
      </c>
      <c r="G44" s="6">
        <v>3.0</v>
      </c>
      <c r="H44" s="6">
        <v>64.0</v>
      </c>
      <c r="I44" s="6">
        <v>0.0</v>
      </c>
      <c r="J44" s="6">
        <v>0.0</v>
      </c>
      <c r="K44" s="6">
        <v>0.0</v>
      </c>
      <c r="L44" s="6">
        <v>10.0</v>
      </c>
    </row>
    <row r="45">
      <c r="A45" s="6" t="s">
        <v>106</v>
      </c>
      <c r="B45" s="6" t="s">
        <v>45</v>
      </c>
      <c r="C45" s="6">
        <v>30.0</v>
      </c>
      <c r="D45" s="6">
        <v>62.0</v>
      </c>
      <c r="E45" s="6">
        <v>0.2</v>
      </c>
      <c r="F45" s="6">
        <v>9.0</v>
      </c>
      <c r="G45" s="6">
        <v>3.33</v>
      </c>
      <c r="H45" s="6">
        <v>62.0</v>
      </c>
      <c r="I45" s="6">
        <v>0.0</v>
      </c>
      <c r="J45" s="6">
        <v>0.0</v>
      </c>
      <c r="K45" s="6">
        <v>1.0</v>
      </c>
      <c r="L45" s="6">
        <v>8.0</v>
      </c>
    </row>
    <row r="46">
      <c r="A46" s="6" t="s">
        <v>91</v>
      </c>
      <c r="B46" s="6" t="s">
        <v>45</v>
      </c>
      <c r="C46" s="6">
        <v>30.0</v>
      </c>
      <c r="D46" s="6">
        <v>58.0</v>
      </c>
      <c r="E46" s="6">
        <v>0.2</v>
      </c>
      <c r="F46" s="6">
        <v>9.0</v>
      </c>
      <c r="G46" s="6">
        <v>3.33</v>
      </c>
      <c r="H46" s="6">
        <v>58.0</v>
      </c>
      <c r="I46" s="6">
        <v>0.0</v>
      </c>
      <c r="J46" s="6">
        <v>0.0</v>
      </c>
      <c r="K46" s="6">
        <v>0.0</v>
      </c>
      <c r="L46" s="6">
        <v>9.0</v>
      </c>
    </row>
    <row r="47">
      <c r="A47" s="6" t="s">
        <v>66</v>
      </c>
      <c r="B47" s="6" t="s">
        <v>45</v>
      </c>
      <c r="C47" s="6">
        <v>40.0</v>
      </c>
      <c r="D47" s="6">
        <v>88.0</v>
      </c>
      <c r="E47" s="6">
        <v>0.4</v>
      </c>
      <c r="F47" s="6">
        <v>12.0</v>
      </c>
      <c r="G47" s="6">
        <v>3.33</v>
      </c>
      <c r="H47" s="6">
        <v>88.0</v>
      </c>
      <c r="I47" s="6">
        <v>0.0</v>
      </c>
      <c r="J47" s="6">
        <v>0.0</v>
      </c>
      <c r="K47" s="6">
        <v>1.0</v>
      </c>
      <c r="L47" s="6">
        <v>11.0</v>
      </c>
    </row>
    <row r="48">
      <c r="A48" s="6" t="s">
        <v>75</v>
      </c>
      <c r="B48" s="6" t="s">
        <v>45</v>
      </c>
      <c r="C48" s="6">
        <v>40.0</v>
      </c>
      <c r="D48" s="6">
        <v>82.0</v>
      </c>
      <c r="E48" s="6">
        <v>0.4</v>
      </c>
      <c r="F48" s="6">
        <v>12.0</v>
      </c>
      <c r="G48" s="6">
        <v>3.33</v>
      </c>
      <c r="H48" s="6">
        <v>82.0</v>
      </c>
      <c r="I48" s="6">
        <v>0.0</v>
      </c>
      <c r="J48" s="6">
        <v>0.0</v>
      </c>
      <c r="K48" s="6">
        <v>0.0</v>
      </c>
      <c r="L48" s="6">
        <v>12.0</v>
      </c>
    </row>
    <row r="49">
      <c r="A49" s="6" t="s">
        <v>58</v>
      </c>
      <c r="B49" s="6" t="s">
        <v>45</v>
      </c>
      <c r="C49" s="6">
        <v>40.0</v>
      </c>
      <c r="D49" s="6">
        <v>91.0</v>
      </c>
      <c r="E49" s="6">
        <v>0.4</v>
      </c>
      <c r="F49" s="6">
        <v>13.0</v>
      </c>
      <c r="G49" s="6">
        <v>3.08</v>
      </c>
      <c r="H49" s="6">
        <v>91.0</v>
      </c>
      <c r="I49" s="6">
        <v>0.0</v>
      </c>
      <c r="J49" s="6">
        <v>0.0</v>
      </c>
      <c r="K49" s="6">
        <v>0.0</v>
      </c>
      <c r="L49" s="6">
        <v>13.0</v>
      </c>
    </row>
    <row r="50">
      <c r="A50" s="6" t="s">
        <v>108</v>
      </c>
      <c r="B50" s="6" t="s">
        <v>45</v>
      </c>
      <c r="C50" s="6">
        <v>40.0</v>
      </c>
      <c r="D50" s="6">
        <v>93.0</v>
      </c>
      <c r="E50" s="6">
        <v>0.4</v>
      </c>
      <c r="F50" s="6">
        <v>13.0</v>
      </c>
      <c r="G50" s="6">
        <v>3.08</v>
      </c>
      <c r="H50" s="6">
        <v>93.0</v>
      </c>
      <c r="I50" s="6">
        <v>0.0</v>
      </c>
      <c r="J50" s="6">
        <v>0.0</v>
      </c>
      <c r="K50" s="6">
        <v>2.0</v>
      </c>
      <c r="L50" s="6">
        <v>11.0</v>
      </c>
    </row>
    <row r="51">
      <c r="A51" s="6" t="s">
        <v>122</v>
      </c>
      <c r="B51" s="6" t="s">
        <v>45</v>
      </c>
      <c r="C51" s="6">
        <v>40.0</v>
      </c>
      <c r="D51" s="6">
        <v>92.0</v>
      </c>
      <c r="E51" s="6">
        <v>0.4</v>
      </c>
      <c r="F51" s="6">
        <v>14.0</v>
      </c>
      <c r="G51" s="6">
        <v>2.86</v>
      </c>
      <c r="H51" s="6">
        <v>92.0</v>
      </c>
      <c r="I51" s="6">
        <v>0.0</v>
      </c>
      <c r="J51" s="6">
        <v>0.0</v>
      </c>
      <c r="K51" s="6">
        <v>2.0</v>
      </c>
      <c r="L51" s="6">
        <v>12.0</v>
      </c>
    </row>
    <row r="52">
      <c r="A52" s="6" t="s">
        <v>88</v>
      </c>
      <c r="B52" s="6" t="s">
        <v>45</v>
      </c>
      <c r="C52" s="6">
        <v>50.0</v>
      </c>
      <c r="D52" s="6">
        <v>115.0</v>
      </c>
      <c r="E52" s="6">
        <v>0.6</v>
      </c>
      <c r="F52" s="6">
        <v>16.0</v>
      </c>
      <c r="G52" s="6">
        <v>3.13</v>
      </c>
      <c r="H52" s="6">
        <v>115.0</v>
      </c>
      <c r="I52" s="6">
        <v>0.0</v>
      </c>
      <c r="J52" s="6">
        <v>0.0</v>
      </c>
      <c r="K52" s="6">
        <v>2.0</v>
      </c>
      <c r="L52" s="6">
        <v>14.0</v>
      </c>
    </row>
    <row r="53">
      <c r="A53" s="6" t="s">
        <v>135</v>
      </c>
      <c r="B53" s="6" t="s">
        <v>45</v>
      </c>
      <c r="C53" s="6">
        <v>50.0</v>
      </c>
      <c r="D53" s="6">
        <v>124.0</v>
      </c>
      <c r="E53" s="6">
        <v>0.5</v>
      </c>
      <c r="F53" s="6">
        <v>14.0</v>
      </c>
      <c r="G53" s="6">
        <v>3.57</v>
      </c>
      <c r="H53" s="6">
        <v>124.0</v>
      </c>
      <c r="I53" s="6">
        <v>0.0</v>
      </c>
      <c r="J53" s="6">
        <v>0.0</v>
      </c>
      <c r="K53" s="6">
        <v>0.0</v>
      </c>
      <c r="L53" s="6">
        <v>14.0</v>
      </c>
    </row>
    <row r="54">
      <c r="A54" s="6" t="s">
        <v>54</v>
      </c>
      <c r="B54" s="6" t="s">
        <v>45</v>
      </c>
      <c r="C54" s="6">
        <v>50.0</v>
      </c>
      <c r="D54" s="6">
        <v>122.0</v>
      </c>
      <c r="E54" s="6">
        <v>0.6</v>
      </c>
      <c r="F54" s="6">
        <v>16.0</v>
      </c>
      <c r="G54" s="6">
        <v>3.13</v>
      </c>
      <c r="H54" s="6">
        <v>122.0</v>
      </c>
      <c r="I54" s="6">
        <v>0.0</v>
      </c>
      <c r="J54" s="6">
        <v>0.0</v>
      </c>
      <c r="K54" s="6">
        <v>2.0</v>
      </c>
      <c r="L54" s="6">
        <v>14.0</v>
      </c>
    </row>
    <row r="55">
      <c r="A55" s="6" t="s">
        <v>148</v>
      </c>
      <c r="B55" s="6" t="s">
        <v>45</v>
      </c>
      <c r="C55" s="6">
        <v>50.0</v>
      </c>
      <c r="D55" s="6">
        <v>118.0</v>
      </c>
      <c r="E55" s="6">
        <v>0.6</v>
      </c>
      <c r="F55" s="6">
        <v>16.0</v>
      </c>
      <c r="G55" s="6">
        <v>3.13</v>
      </c>
      <c r="H55" s="6">
        <v>118.0</v>
      </c>
      <c r="I55" s="6">
        <v>0.0</v>
      </c>
      <c r="J55" s="6">
        <v>0.0</v>
      </c>
      <c r="K55" s="6">
        <v>2.0</v>
      </c>
      <c r="L55" s="6">
        <v>14.0</v>
      </c>
    </row>
    <row r="56">
      <c r="A56" s="6" t="s">
        <v>76</v>
      </c>
      <c r="B56" s="6" t="s">
        <v>45</v>
      </c>
      <c r="C56" s="6">
        <v>50.0</v>
      </c>
      <c r="D56" s="6">
        <v>127.0</v>
      </c>
      <c r="E56" s="6">
        <v>0.6</v>
      </c>
      <c r="F56" s="6">
        <v>16.0</v>
      </c>
      <c r="G56" s="6">
        <v>3.13</v>
      </c>
      <c r="H56" s="6">
        <v>127.0</v>
      </c>
      <c r="I56" s="6">
        <v>0.0</v>
      </c>
      <c r="J56" s="6">
        <v>0.0</v>
      </c>
      <c r="K56" s="6">
        <v>1.0</v>
      </c>
      <c r="L56" s="6">
        <v>15.0</v>
      </c>
    </row>
    <row r="57">
      <c r="A57" s="6" t="s">
        <v>62</v>
      </c>
      <c r="B57" s="6" t="s">
        <v>45</v>
      </c>
      <c r="C57" s="6">
        <v>75.0</v>
      </c>
      <c r="D57" s="6">
        <v>222.0</v>
      </c>
      <c r="E57" s="6">
        <v>1.2</v>
      </c>
      <c r="F57" s="6">
        <v>22.0</v>
      </c>
      <c r="G57" s="6">
        <v>3.41</v>
      </c>
      <c r="H57" s="6">
        <v>222.0</v>
      </c>
      <c r="I57" s="6">
        <v>0.0</v>
      </c>
      <c r="J57" s="6">
        <v>0.0</v>
      </c>
      <c r="K57" s="6">
        <v>4.0</v>
      </c>
      <c r="L57" s="6">
        <v>18.0</v>
      </c>
    </row>
    <row r="58">
      <c r="A58" s="6" t="s">
        <v>72</v>
      </c>
      <c r="B58" s="6" t="s">
        <v>45</v>
      </c>
      <c r="C58" s="6">
        <v>75.0</v>
      </c>
      <c r="D58" s="6">
        <v>192.0</v>
      </c>
      <c r="E58" s="6">
        <v>1.3</v>
      </c>
      <c r="F58" s="6">
        <v>25.0</v>
      </c>
      <c r="G58" s="6">
        <v>3.0</v>
      </c>
      <c r="H58" s="6">
        <v>192.0</v>
      </c>
      <c r="I58" s="6">
        <v>0.0</v>
      </c>
      <c r="J58" s="6">
        <v>0.0</v>
      </c>
      <c r="K58" s="6">
        <v>4.0</v>
      </c>
      <c r="L58" s="6">
        <v>21.0</v>
      </c>
    </row>
    <row r="59">
      <c r="A59" s="6" t="s">
        <v>74</v>
      </c>
      <c r="B59" s="6" t="s">
        <v>45</v>
      </c>
      <c r="C59" s="6">
        <v>75.0</v>
      </c>
      <c r="D59" s="6">
        <v>197.0</v>
      </c>
      <c r="E59" s="6">
        <v>1.3</v>
      </c>
      <c r="F59" s="6">
        <v>24.0</v>
      </c>
      <c r="G59" s="6">
        <v>3.13</v>
      </c>
      <c r="H59" s="6">
        <v>197.0</v>
      </c>
      <c r="I59" s="6">
        <v>0.0</v>
      </c>
      <c r="J59" s="6">
        <v>0.0</v>
      </c>
      <c r="K59" s="6">
        <v>4.0</v>
      </c>
      <c r="L59" s="6">
        <v>20.0</v>
      </c>
    </row>
    <row r="60">
      <c r="A60" s="6" t="s">
        <v>120</v>
      </c>
      <c r="B60" s="6" t="s">
        <v>45</v>
      </c>
      <c r="C60" s="6">
        <v>75.0</v>
      </c>
      <c r="D60" s="6">
        <v>189.0</v>
      </c>
      <c r="E60" s="6">
        <v>1.2</v>
      </c>
      <c r="F60" s="6">
        <v>23.0</v>
      </c>
      <c r="G60" s="6">
        <v>3.26</v>
      </c>
      <c r="H60" s="6">
        <v>189.0</v>
      </c>
      <c r="I60" s="6">
        <v>0.0</v>
      </c>
      <c r="J60" s="6">
        <v>0.0</v>
      </c>
      <c r="K60" s="6">
        <v>2.0</v>
      </c>
      <c r="L60" s="6">
        <v>21.0</v>
      </c>
    </row>
    <row r="61">
      <c r="A61" s="6" t="s">
        <v>119</v>
      </c>
      <c r="B61" s="6" t="s">
        <v>45</v>
      </c>
      <c r="C61" s="6">
        <v>75.0</v>
      </c>
      <c r="D61" s="6">
        <v>198.0</v>
      </c>
      <c r="E61" s="6">
        <v>1.2</v>
      </c>
      <c r="F61" s="6">
        <v>23.0</v>
      </c>
      <c r="G61" s="6">
        <v>3.26</v>
      </c>
      <c r="H61" s="6">
        <v>198.0</v>
      </c>
      <c r="I61" s="6">
        <v>0.0</v>
      </c>
      <c r="J61" s="6">
        <v>1.0</v>
      </c>
      <c r="K61" s="6">
        <v>2.0</v>
      </c>
      <c r="L61" s="6">
        <v>20.0</v>
      </c>
    </row>
    <row r="62">
      <c r="A62" s="6" t="s">
        <v>101</v>
      </c>
      <c r="B62" s="6" t="s">
        <v>45</v>
      </c>
      <c r="C62" s="6">
        <v>100.0</v>
      </c>
      <c r="D62" s="6">
        <v>300.0</v>
      </c>
      <c r="E62" s="6">
        <v>2.2</v>
      </c>
      <c r="F62" s="6">
        <v>29.0</v>
      </c>
      <c r="G62" s="6">
        <v>3.45</v>
      </c>
      <c r="H62" s="6">
        <v>300.0</v>
      </c>
      <c r="I62" s="6">
        <v>0.0</v>
      </c>
      <c r="J62" s="6">
        <v>0.0</v>
      </c>
      <c r="K62" s="6">
        <v>4.0</v>
      </c>
      <c r="L62" s="6">
        <v>25.0</v>
      </c>
    </row>
    <row r="63">
      <c r="A63" s="6" t="s">
        <v>117</v>
      </c>
      <c r="B63" s="6" t="s">
        <v>45</v>
      </c>
      <c r="C63" s="6">
        <v>100.0</v>
      </c>
      <c r="D63" s="6">
        <v>282.0</v>
      </c>
      <c r="E63" s="6">
        <v>2.2</v>
      </c>
      <c r="F63" s="6">
        <v>33.0</v>
      </c>
      <c r="G63" s="6">
        <v>3.03</v>
      </c>
      <c r="H63" s="6">
        <v>282.0</v>
      </c>
      <c r="I63" s="6">
        <v>0.0</v>
      </c>
      <c r="J63" s="6">
        <v>0.0</v>
      </c>
      <c r="K63" s="6">
        <v>8.0</v>
      </c>
      <c r="L63" s="6">
        <v>25.0</v>
      </c>
    </row>
    <row r="64">
      <c r="A64" s="6" t="s">
        <v>98</v>
      </c>
      <c r="B64" s="6" t="s">
        <v>45</v>
      </c>
      <c r="C64" s="6">
        <v>100.0</v>
      </c>
      <c r="D64" s="6">
        <v>300.0</v>
      </c>
      <c r="E64" s="6">
        <v>2.2</v>
      </c>
      <c r="F64" s="6">
        <v>30.0</v>
      </c>
      <c r="G64" s="6">
        <v>3.33</v>
      </c>
      <c r="H64" s="6">
        <v>300.0</v>
      </c>
      <c r="I64" s="6">
        <v>0.0</v>
      </c>
      <c r="J64" s="6">
        <v>1.0</v>
      </c>
      <c r="K64" s="6">
        <v>5.0</v>
      </c>
      <c r="L64" s="6">
        <v>24.0</v>
      </c>
    </row>
    <row r="65">
      <c r="A65" s="6" t="s">
        <v>143</v>
      </c>
      <c r="B65" s="6" t="s">
        <v>45</v>
      </c>
      <c r="C65" s="6">
        <v>100.0</v>
      </c>
      <c r="D65" s="6">
        <v>282.0</v>
      </c>
      <c r="E65" s="6">
        <v>2.2</v>
      </c>
      <c r="F65" s="6">
        <v>32.0</v>
      </c>
      <c r="G65" s="6">
        <v>3.13</v>
      </c>
      <c r="H65" s="6">
        <v>282.0</v>
      </c>
      <c r="I65" s="6">
        <v>0.0</v>
      </c>
      <c r="J65" s="6">
        <v>0.0</v>
      </c>
      <c r="K65" s="6">
        <v>6.0</v>
      </c>
      <c r="L65" s="6">
        <v>26.0</v>
      </c>
    </row>
    <row r="66">
      <c r="A66" s="6" t="s">
        <v>92</v>
      </c>
      <c r="B66" s="6" t="s">
        <v>45</v>
      </c>
      <c r="C66" s="6">
        <v>100.0</v>
      </c>
      <c r="D66" s="6">
        <v>305.0</v>
      </c>
      <c r="E66" s="6">
        <v>2.1</v>
      </c>
      <c r="F66" s="6">
        <v>29.0</v>
      </c>
      <c r="G66" s="6">
        <v>3.45</v>
      </c>
      <c r="H66" s="6">
        <v>305.0</v>
      </c>
      <c r="I66" s="6">
        <v>0.0</v>
      </c>
      <c r="J66" s="6">
        <v>0.0</v>
      </c>
      <c r="K66" s="6">
        <v>3.0</v>
      </c>
      <c r="L66" s="6">
        <v>26.0</v>
      </c>
    </row>
    <row r="67">
      <c r="A67" s="6" t="s">
        <v>97</v>
      </c>
      <c r="B67" s="6" t="s">
        <v>45</v>
      </c>
      <c r="C67" s="6">
        <v>125.0</v>
      </c>
      <c r="D67" s="6">
        <v>391.0</v>
      </c>
      <c r="E67" s="6">
        <v>3.4</v>
      </c>
      <c r="F67" s="6">
        <v>37.0</v>
      </c>
      <c r="G67" s="6">
        <v>3.38</v>
      </c>
      <c r="H67" s="6">
        <v>391.0</v>
      </c>
      <c r="I67" s="6">
        <v>0.0</v>
      </c>
      <c r="J67" s="6">
        <v>0.0</v>
      </c>
      <c r="K67" s="6">
        <v>7.0</v>
      </c>
      <c r="L67" s="6">
        <v>30.0</v>
      </c>
    </row>
    <row r="68">
      <c r="A68" s="6" t="s">
        <v>121</v>
      </c>
      <c r="B68" s="6" t="s">
        <v>45</v>
      </c>
      <c r="C68" s="6">
        <v>125.0</v>
      </c>
      <c r="D68" s="6">
        <v>388.0</v>
      </c>
      <c r="E68" s="6">
        <v>3.4</v>
      </c>
      <c r="F68" s="6">
        <v>39.0</v>
      </c>
      <c r="G68" s="6">
        <v>3.21</v>
      </c>
      <c r="H68" s="6">
        <v>388.0</v>
      </c>
      <c r="I68" s="6">
        <v>0.0</v>
      </c>
      <c r="J68" s="6">
        <v>0.0</v>
      </c>
      <c r="K68" s="6">
        <v>7.0</v>
      </c>
      <c r="L68" s="6">
        <v>32.0</v>
      </c>
    </row>
    <row r="69">
      <c r="A69" s="6" t="s">
        <v>116</v>
      </c>
      <c r="B69" s="6" t="s">
        <v>45</v>
      </c>
      <c r="C69" s="6">
        <v>125.0</v>
      </c>
      <c r="D69" s="6">
        <v>379.0</v>
      </c>
      <c r="E69" s="6">
        <v>3.5</v>
      </c>
      <c r="F69" s="6">
        <v>40.0</v>
      </c>
      <c r="G69" s="6">
        <v>3.13</v>
      </c>
      <c r="H69" s="6">
        <v>379.0</v>
      </c>
      <c r="I69" s="6">
        <v>0.0</v>
      </c>
      <c r="J69" s="6">
        <v>1.0</v>
      </c>
      <c r="K69" s="6">
        <v>9.0</v>
      </c>
      <c r="L69" s="6">
        <v>30.0</v>
      </c>
    </row>
    <row r="70">
      <c r="A70" s="6" t="s">
        <v>102</v>
      </c>
      <c r="B70" s="6" t="s">
        <v>45</v>
      </c>
      <c r="C70" s="6">
        <v>125.0</v>
      </c>
      <c r="D70" s="6">
        <v>368.0</v>
      </c>
      <c r="E70" s="6">
        <v>3.7</v>
      </c>
      <c r="F70" s="6">
        <v>38.0</v>
      </c>
      <c r="G70" s="6">
        <v>3.29</v>
      </c>
      <c r="H70" s="6">
        <v>368.0</v>
      </c>
      <c r="I70" s="6">
        <v>0.0</v>
      </c>
      <c r="J70" s="6">
        <v>0.0</v>
      </c>
      <c r="K70" s="6">
        <v>5.0</v>
      </c>
      <c r="L70" s="6">
        <v>33.0</v>
      </c>
    </row>
    <row r="71">
      <c r="A71" s="6" t="s">
        <v>147</v>
      </c>
      <c r="B71" s="6" t="s">
        <v>45</v>
      </c>
      <c r="C71" s="6">
        <v>125.0</v>
      </c>
      <c r="D71" s="6">
        <v>383.0</v>
      </c>
      <c r="E71" s="6">
        <v>3.5</v>
      </c>
      <c r="F71" s="6">
        <v>38.0</v>
      </c>
      <c r="G71" s="6">
        <v>3.29</v>
      </c>
      <c r="H71" s="6">
        <v>383.0</v>
      </c>
      <c r="I71" s="6">
        <v>0.0</v>
      </c>
      <c r="J71" s="6">
        <v>0.0</v>
      </c>
      <c r="K71" s="6">
        <v>7.0</v>
      </c>
      <c r="L71" s="6">
        <v>31.0</v>
      </c>
    </row>
    <row r="72">
      <c r="A72" s="6" t="s">
        <v>146</v>
      </c>
      <c r="B72" s="6" t="s">
        <v>45</v>
      </c>
      <c r="C72" s="6">
        <v>150.0</v>
      </c>
      <c r="D72" s="6">
        <v>479.0</v>
      </c>
      <c r="E72" s="6">
        <v>4.9</v>
      </c>
      <c r="F72" s="6">
        <v>46.0</v>
      </c>
      <c r="G72" s="6">
        <v>3.26</v>
      </c>
      <c r="H72" s="6">
        <v>479.0</v>
      </c>
      <c r="I72" s="6">
        <v>0.0</v>
      </c>
      <c r="J72" s="6">
        <v>1.0</v>
      </c>
      <c r="K72" s="6">
        <v>5.0</v>
      </c>
      <c r="L72" s="6">
        <v>40.0</v>
      </c>
    </row>
    <row r="73">
      <c r="A73" s="6" t="s">
        <v>89</v>
      </c>
      <c r="B73" s="6" t="s">
        <v>45</v>
      </c>
      <c r="C73" s="6">
        <v>150.0</v>
      </c>
      <c r="D73" s="6">
        <v>478.0</v>
      </c>
      <c r="E73" s="6">
        <v>4.9</v>
      </c>
      <c r="F73" s="6">
        <v>46.0</v>
      </c>
      <c r="G73" s="6">
        <v>3.26</v>
      </c>
      <c r="H73" s="6">
        <v>478.0</v>
      </c>
      <c r="I73" s="6">
        <v>0.0</v>
      </c>
      <c r="J73" s="6">
        <v>1.0</v>
      </c>
      <c r="K73" s="6">
        <v>7.0</v>
      </c>
      <c r="L73" s="6">
        <v>38.0</v>
      </c>
    </row>
    <row r="74">
      <c r="A74" s="6" t="s">
        <v>47</v>
      </c>
      <c r="B74" s="6" t="s">
        <v>45</v>
      </c>
      <c r="C74" s="6">
        <v>150.0</v>
      </c>
      <c r="D74" s="6">
        <v>483.0</v>
      </c>
      <c r="E74" s="6">
        <v>4.9</v>
      </c>
      <c r="F74" s="6">
        <v>45.0</v>
      </c>
      <c r="G74" s="6">
        <v>3.33</v>
      </c>
      <c r="H74" s="6">
        <v>483.0</v>
      </c>
      <c r="I74" s="6">
        <v>0.0</v>
      </c>
      <c r="J74" s="6">
        <v>1.0</v>
      </c>
      <c r="K74" s="6">
        <v>10.0</v>
      </c>
      <c r="L74" s="6">
        <v>34.0</v>
      </c>
    </row>
    <row r="75">
      <c r="A75" s="6" t="s">
        <v>137</v>
      </c>
      <c r="B75" s="6" t="s">
        <v>45</v>
      </c>
      <c r="C75" s="6">
        <v>150.0</v>
      </c>
      <c r="D75" s="6">
        <v>484.0</v>
      </c>
      <c r="E75" s="6">
        <v>4.9</v>
      </c>
      <c r="F75" s="6">
        <v>46.0</v>
      </c>
      <c r="G75" s="6">
        <v>3.26</v>
      </c>
      <c r="H75" s="6">
        <v>484.0</v>
      </c>
      <c r="I75" s="6">
        <v>0.0</v>
      </c>
      <c r="J75" s="6">
        <v>2.0</v>
      </c>
      <c r="K75" s="6">
        <v>11.0</v>
      </c>
      <c r="L75" s="6">
        <v>33.0</v>
      </c>
    </row>
    <row r="76">
      <c r="A76" s="6" t="s">
        <v>136</v>
      </c>
      <c r="B76" s="6" t="s">
        <v>45</v>
      </c>
      <c r="C76" s="6">
        <v>150.0</v>
      </c>
      <c r="D76" s="6">
        <v>456.0</v>
      </c>
      <c r="E76" s="6">
        <v>4.9</v>
      </c>
      <c r="F76" s="6">
        <v>47.0</v>
      </c>
      <c r="G76" s="6">
        <v>3.19</v>
      </c>
      <c r="H76" s="6">
        <v>456.0</v>
      </c>
      <c r="I76" s="6">
        <v>0.0</v>
      </c>
      <c r="J76" s="6">
        <v>0.0</v>
      </c>
      <c r="K76" s="6">
        <v>14.0</v>
      </c>
      <c r="L76" s="6">
        <v>33.0</v>
      </c>
    </row>
    <row r="77">
      <c r="A77" s="6" t="s">
        <v>128</v>
      </c>
      <c r="B77" s="6" t="s">
        <v>45</v>
      </c>
      <c r="C77" s="6">
        <v>200.0</v>
      </c>
      <c r="D77" s="6">
        <v>680.0</v>
      </c>
      <c r="E77" s="6">
        <v>8.7</v>
      </c>
      <c r="F77" s="6">
        <v>61.0</v>
      </c>
      <c r="G77" s="6">
        <v>3.28</v>
      </c>
      <c r="H77" s="6">
        <v>680.0</v>
      </c>
      <c r="I77" s="6">
        <v>0.0</v>
      </c>
      <c r="J77" s="6">
        <v>1.0</v>
      </c>
      <c r="K77" s="6">
        <v>16.0</v>
      </c>
      <c r="L77" s="6">
        <v>44.0</v>
      </c>
    </row>
    <row r="78">
      <c r="A78" s="6" t="s">
        <v>68</v>
      </c>
      <c r="B78" s="6" t="s">
        <v>45</v>
      </c>
      <c r="C78" s="6">
        <v>200.0</v>
      </c>
      <c r="D78" s="6">
        <v>677.0</v>
      </c>
      <c r="E78" s="6">
        <v>8.7</v>
      </c>
      <c r="F78" s="6">
        <v>61.0</v>
      </c>
      <c r="G78" s="6">
        <v>3.28</v>
      </c>
      <c r="H78" s="6">
        <v>677.0</v>
      </c>
      <c r="I78" s="6">
        <v>0.0</v>
      </c>
      <c r="J78" s="6">
        <v>1.0</v>
      </c>
      <c r="K78" s="6">
        <v>19.0</v>
      </c>
      <c r="L78" s="6">
        <v>41.0</v>
      </c>
    </row>
    <row r="79">
      <c r="A79" s="6" t="s">
        <v>112</v>
      </c>
      <c r="B79" s="6" t="s">
        <v>45</v>
      </c>
      <c r="C79" s="6">
        <v>200.0</v>
      </c>
      <c r="D79" s="6">
        <v>685.0</v>
      </c>
      <c r="E79" s="6">
        <v>8.6</v>
      </c>
      <c r="F79" s="6">
        <v>59.0</v>
      </c>
      <c r="G79" s="6">
        <v>3.39</v>
      </c>
      <c r="H79" s="6">
        <v>685.0</v>
      </c>
      <c r="I79" s="6">
        <v>0.0</v>
      </c>
      <c r="J79" s="6">
        <v>1.0</v>
      </c>
      <c r="K79" s="6">
        <v>15.0</v>
      </c>
      <c r="L79" s="6">
        <v>43.0</v>
      </c>
    </row>
    <row r="80">
      <c r="A80" s="6" t="s">
        <v>145</v>
      </c>
      <c r="B80" s="6" t="s">
        <v>45</v>
      </c>
      <c r="C80" s="6">
        <v>200.0</v>
      </c>
      <c r="D80" s="6">
        <v>685.0</v>
      </c>
      <c r="E80" s="6">
        <v>9.2</v>
      </c>
      <c r="F80" s="6">
        <v>60.0</v>
      </c>
      <c r="G80" s="6">
        <v>3.33</v>
      </c>
      <c r="H80" s="6">
        <v>685.0</v>
      </c>
      <c r="I80" s="6">
        <v>0.0</v>
      </c>
      <c r="J80" s="6">
        <v>0.0</v>
      </c>
      <c r="K80" s="6">
        <v>18.0</v>
      </c>
      <c r="L80" s="6">
        <v>42.0</v>
      </c>
    </row>
    <row r="81">
      <c r="A81" s="6" t="s">
        <v>56</v>
      </c>
      <c r="B81" s="6" t="s">
        <v>45</v>
      </c>
      <c r="C81" s="6">
        <v>200.0</v>
      </c>
      <c r="D81" s="6">
        <v>684.0</v>
      </c>
      <c r="E81" s="6">
        <v>8.7</v>
      </c>
      <c r="F81" s="6">
        <v>61.0</v>
      </c>
      <c r="G81" s="6">
        <v>3.28</v>
      </c>
      <c r="H81" s="6">
        <v>684.0</v>
      </c>
      <c r="I81" s="6">
        <v>0.0</v>
      </c>
      <c r="J81" s="6">
        <v>2.0</v>
      </c>
      <c r="K81" s="6">
        <v>16.0</v>
      </c>
      <c r="L81" s="6">
        <v>43.0</v>
      </c>
    </row>
    <row r="82">
      <c r="A82" s="6" t="s">
        <v>77</v>
      </c>
      <c r="B82" s="6" t="s">
        <v>45</v>
      </c>
      <c r="C82" s="6">
        <v>250.0</v>
      </c>
      <c r="D82" s="6">
        <v>856.0</v>
      </c>
      <c r="E82" s="6">
        <v>14.2</v>
      </c>
      <c r="F82" s="6">
        <v>76.0</v>
      </c>
      <c r="G82" s="6">
        <v>3.29</v>
      </c>
      <c r="H82" s="6">
        <v>856.0</v>
      </c>
      <c r="I82" s="6">
        <v>0.0</v>
      </c>
      <c r="J82" s="6">
        <v>0.0</v>
      </c>
      <c r="K82" s="6">
        <v>22.0</v>
      </c>
      <c r="L82" s="6">
        <v>54.0</v>
      </c>
    </row>
    <row r="83">
      <c r="A83" s="6" t="s">
        <v>67</v>
      </c>
      <c r="B83" s="6" t="s">
        <v>45</v>
      </c>
      <c r="C83" s="6">
        <v>250.0</v>
      </c>
      <c r="D83" s="6">
        <v>850.0</v>
      </c>
      <c r="E83" s="6">
        <v>13.4</v>
      </c>
      <c r="F83" s="6">
        <v>74.0</v>
      </c>
      <c r="G83" s="6">
        <v>3.38</v>
      </c>
      <c r="H83" s="6">
        <v>850.0</v>
      </c>
      <c r="I83" s="6">
        <v>0.0</v>
      </c>
      <c r="J83" s="6">
        <v>2.0</v>
      </c>
      <c r="K83" s="6">
        <v>12.0</v>
      </c>
      <c r="L83" s="6">
        <v>60.0</v>
      </c>
    </row>
    <row r="84">
      <c r="A84" s="6" t="s">
        <v>70</v>
      </c>
      <c r="B84" s="6" t="s">
        <v>45</v>
      </c>
      <c r="C84" s="6">
        <v>250.0</v>
      </c>
      <c r="D84" s="6">
        <v>851.0</v>
      </c>
      <c r="E84" s="6">
        <v>15.3</v>
      </c>
      <c r="F84" s="6">
        <v>74.0</v>
      </c>
      <c r="G84" s="6">
        <v>3.38</v>
      </c>
      <c r="H84" s="6">
        <v>851.0</v>
      </c>
      <c r="I84" s="6">
        <v>0.0</v>
      </c>
      <c r="J84" s="6">
        <v>2.0</v>
      </c>
      <c r="K84" s="6">
        <v>18.0</v>
      </c>
      <c r="L84" s="6">
        <v>54.0</v>
      </c>
    </row>
    <row r="85">
      <c r="A85" s="6" t="s">
        <v>104</v>
      </c>
      <c r="B85" s="6" t="s">
        <v>45</v>
      </c>
      <c r="C85" s="6">
        <v>250.0</v>
      </c>
      <c r="D85" s="6">
        <v>848.0</v>
      </c>
      <c r="E85" s="6">
        <v>13.6</v>
      </c>
      <c r="F85" s="6">
        <v>74.0</v>
      </c>
      <c r="G85" s="6">
        <v>3.38</v>
      </c>
      <c r="H85" s="6">
        <v>848.0</v>
      </c>
      <c r="I85" s="6">
        <v>0.0</v>
      </c>
      <c r="J85" s="6">
        <v>0.0</v>
      </c>
      <c r="K85" s="6">
        <v>16.0</v>
      </c>
      <c r="L85" s="6">
        <v>58.0</v>
      </c>
    </row>
    <row r="86">
      <c r="A86" s="6" t="s">
        <v>84</v>
      </c>
      <c r="B86" s="6" t="s">
        <v>45</v>
      </c>
      <c r="C86" s="6">
        <v>250.0</v>
      </c>
      <c r="D86" s="6">
        <v>856.0</v>
      </c>
      <c r="E86" s="6">
        <v>13.6</v>
      </c>
      <c r="F86" s="6">
        <v>74.0</v>
      </c>
      <c r="G86" s="6">
        <v>3.38</v>
      </c>
      <c r="H86" s="6">
        <v>856.0</v>
      </c>
      <c r="I86" s="6">
        <v>0.0</v>
      </c>
      <c r="J86" s="6">
        <v>0.0</v>
      </c>
      <c r="K86" s="6">
        <v>17.0</v>
      </c>
      <c r="L86" s="6">
        <v>57.0</v>
      </c>
    </row>
    <row r="87">
      <c r="A87" s="6" t="s">
        <v>107</v>
      </c>
      <c r="B87" s="6" t="s">
        <v>45</v>
      </c>
      <c r="C87" s="6">
        <v>300.0</v>
      </c>
      <c r="D87" s="6">
        <v>980.0</v>
      </c>
      <c r="E87" s="6">
        <v>19.8</v>
      </c>
      <c r="F87" s="6">
        <v>89.0</v>
      </c>
      <c r="G87" s="6">
        <v>3.37</v>
      </c>
      <c r="H87" s="6">
        <v>980.0</v>
      </c>
      <c r="I87" s="6">
        <v>0.0</v>
      </c>
      <c r="J87" s="6">
        <v>0.0</v>
      </c>
      <c r="K87" s="6">
        <v>15.0</v>
      </c>
      <c r="L87" s="6">
        <v>74.0</v>
      </c>
    </row>
    <row r="88">
      <c r="A88" s="6" t="s">
        <v>80</v>
      </c>
      <c r="B88" s="6" t="s">
        <v>45</v>
      </c>
      <c r="C88" s="6">
        <v>300.0</v>
      </c>
      <c r="D88" s="6">
        <v>959.0</v>
      </c>
      <c r="E88" s="6">
        <v>20.3</v>
      </c>
      <c r="F88" s="6">
        <v>91.0</v>
      </c>
      <c r="G88" s="6">
        <v>3.3</v>
      </c>
      <c r="H88" s="6">
        <v>959.0</v>
      </c>
      <c r="I88" s="6">
        <v>0.0</v>
      </c>
      <c r="J88" s="6">
        <v>2.0</v>
      </c>
      <c r="K88" s="6">
        <v>14.0</v>
      </c>
      <c r="L88" s="6">
        <v>75.0</v>
      </c>
    </row>
    <row r="89">
      <c r="A89" s="6" t="s">
        <v>151</v>
      </c>
      <c r="B89" s="6" t="s">
        <v>45</v>
      </c>
      <c r="C89" s="6">
        <v>300.0</v>
      </c>
      <c r="D89" s="6">
        <v>944.0</v>
      </c>
      <c r="E89" s="6">
        <v>20.2</v>
      </c>
      <c r="F89" s="6">
        <v>94.0</v>
      </c>
      <c r="G89" s="6">
        <v>3.19</v>
      </c>
      <c r="H89" s="6">
        <v>944.0</v>
      </c>
      <c r="I89" s="6">
        <v>0.0</v>
      </c>
      <c r="J89" s="6">
        <v>2.0</v>
      </c>
      <c r="K89" s="6">
        <v>23.0</v>
      </c>
      <c r="L89" s="6">
        <v>69.0</v>
      </c>
    </row>
    <row r="90">
      <c r="A90" s="6" t="s">
        <v>118</v>
      </c>
      <c r="B90" s="6" t="s">
        <v>45</v>
      </c>
      <c r="C90" s="6">
        <v>300.0</v>
      </c>
      <c r="D90" s="6">
        <v>999.0</v>
      </c>
      <c r="E90" s="6">
        <v>20.1</v>
      </c>
      <c r="F90" s="6">
        <v>90.0</v>
      </c>
      <c r="G90" s="6">
        <v>3.33</v>
      </c>
      <c r="H90" s="6">
        <v>999.0</v>
      </c>
      <c r="I90" s="6">
        <v>0.0</v>
      </c>
      <c r="J90" s="6">
        <v>1.0</v>
      </c>
      <c r="K90" s="6">
        <v>20.0</v>
      </c>
      <c r="L90" s="6">
        <v>69.0</v>
      </c>
    </row>
    <row r="91">
      <c r="A91" s="6" t="s">
        <v>152</v>
      </c>
      <c r="B91" s="6" t="s">
        <v>45</v>
      </c>
      <c r="C91" s="6">
        <v>300.0</v>
      </c>
      <c r="D91" s="6">
        <v>953.0</v>
      </c>
      <c r="E91" s="6">
        <v>20.1</v>
      </c>
      <c r="F91" s="6">
        <v>91.0</v>
      </c>
      <c r="G91" s="6">
        <v>3.3</v>
      </c>
      <c r="H91" s="6">
        <v>953.0</v>
      </c>
      <c r="I91" s="6">
        <v>0.0</v>
      </c>
      <c r="J91" s="6">
        <v>1.0</v>
      </c>
      <c r="K91" s="6">
        <v>18.0</v>
      </c>
      <c r="L91" s="6">
        <v>72.0</v>
      </c>
    </row>
    <row r="92">
      <c r="A92" s="6" t="s">
        <v>99</v>
      </c>
      <c r="B92" s="6" t="s">
        <v>45</v>
      </c>
      <c r="C92" s="6">
        <v>400.0</v>
      </c>
      <c r="D92" s="6">
        <v>1234.0</v>
      </c>
      <c r="E92" s="6">
        <v>37.0</v>
      </c>
      <c r="F92" s="6">
        <v>120.0</v>
      </c>
      <c r="G92" s="6">
        <v>3.33</v>
      </c>
      <c r="H92" s="6">
        <v>1234.0</v>
      </c>
      <c r="I92" s="6">
        <v>0.0</v>
      </c>
      <c r="J92" s="6">
        <v>2.0</v>
      </c>
      <c r="K92" s="6">
        <v>19.0</v>
      </c>
      <c r="L92" s="6">
        <v>99.0</v>
      </c>
    </row>
    <row r="93">
      <c r="A93" s="6" t="s">
        <v>149</v>
      </c>
      <c r="B93" s="6" t="s">
        <v>45</v>
      </c>
      <c r="C93" s="6">
        <v>400.0</v>
      </c>
      <c r="D93" s="6">
        <v>1212.0</v>
      </c>
      <c r="E93" s="6">
        <v>37.2</v>
      </c>
      <c r="F93" s="6">
        <v>121.0</v>
      </c>
      <c r="G93" s="6">
        <v>3.31</v>
      </c>
      <c r="H93" s="6">
        <v>1212.0</v>
      </c>
      <c r="I93" s="6">
        <v>0.0</v>
      </c>
      <c r="J93" s="6">
        <v>0.0</v>
      </c>
      <c r="K93" s="6">
        <v>19.0</v>
      </c>
      <c r="L93" s="6">
        <v>102.0</v>
      </c>
    </row>
    <row r="94">
      <c r="A94" s="6" t="s">
        <v>139</v>
      </c>
      <c r="B94" s="6" t="s">
        <v>45</v>
      </c>
      <c r="C94" s="6">
        <v>400.0</v>
      </c>
      <c r="D94" s="6">
        <v>1222.0</v>
      </c>
      <c r="E94" s="6">
        <v>38.3</v>
      </c>
      <c r="F94" s="6">
        <v>122.0</v>
      </c>
      <c r="G94" s="6">
        <v>3.28</v>
      </c>
      <c r="H94" s="6">
        <v>1222.0</v>
      </c>
      <c r="I94" s="6">
        <v>0.0</v>
      </c>
      <c r="J94" s="6">
        <v>0.0</v>
      </c>
      <c r="K94" s="6">
        <v>17.0</v>
      </c>
      <c r="L94" s="6">
        <v>105.0</v>
      </c>
    </row>
    <row r="95">
      <c r="A95" s="6" t="s">
        <v>113</v>
      </c>
      <c r="B95" s="6" t="s">
        <v>45</v>
      </c>
      <c r="C95" s="6">
        <v>400.0</v>
      </c>
      <c r="D95" s="6">
        <v>1248.0</v>
      </c>
      <c r="E95" s="6">
        <v>37.3</v>
      </c>
      <c r="F95" s="6">
        <v>117.0</v>
      </c>
      <c r="G95" s="6">
        <v>3.42</v>
      </c>
      <c r="H95" s="6">
        <v>1248.0</v>
      </c>
      <c r="I95" s="6">
        <v>0.0</v>
      </c>
      <c r="J95" s="6">
        <v>1.0</v>
      </c>
      <c r="K95" s="6">
        <v>13.0</v>
      </c>
      <c r="L95" s="6">
        <v>103.0</v>
      </c>
    </row>
    <row r="96">
      <c r="A96" s="6" t="s">
        <v>138</v>
      </c>
      <c r="B96" s="6" t="s">
        <v>45</v>
      </c>
      <c r="C96" s="6">
        <v>400.0</v>
      </c>
      <c r="D96" s="6">
        <v>1255.0</v>
      </c>
      <c r="E96" s="6">
        <v>37.3</v>
      </c>
      <c r="F96" s="6">
        <v>119.0</v>
      </c>
      <c r="G96" s="6">
        <v>3.36</v>
      </c>
      <c r="H96" s="6">
        <v>1255.0</v>
      </c>
      <c r="I96" s="6">
        <v>0.0</v>
      </c>
      <c r="J96" s="6">
        <v>1.0</v>
      </c>
      <c r="K96" s="6">
        <v>18.0</v>
      </c>
      <c r="L96" s="6">
        <v>100.0</v>
      </c>
    </row>
    <row r="97">
      <c r="A97" s="6" t="s">
        <v>82</v>
      </c>
      <c r="B97" s="6" t="s">
        <v>45</v>
      </c>
      <c r="C97" s="6">
        <v>500.0</v>
      </c>
      <c r="D97" s="6">
        <v>1483.0</v>
      </c>
      <c r="E97" s="6">
        <v>61.1</v>
      </c>
      <c r="F97" s="6">
        <v>151.0</v>
      </c>
      <c r="G97" s="6">
        <v>3.31</v>
      </c>
      <c r="H97" s="6">
        <v>1483.0</v>
      </c>
      <c r="I97" s="6">
        <v>0.0</v>
      </c>
      <c r="J97" s="6">
        <v>1.0</v>
      </c>
      <c r="K97" s="6">
        <v>15.0</v>
      </c>
      <c r="L97" s="6">
        <v>135.0</v>
      </c>
    </row>
    <row r="98">
      <c r="A98" s="6" t="s">
        <v>142</v>
      </c>
      <c r="B98" s="6" t="s">
        <v>45</v>
      </c>
      <c r="C98" s="6">
        <v>500.0</v>
      </c>
      <c r="D98" s="6">
        <v>1497.0</v>
      </c>
      <c r="E98" s="6">
        <v>60.7</v>
      </c>
      <c r="F98" s="6">
        <v>150.0</v>
      </c>
      <c r="G98" s="6">
        <v>3.33</v>
      </c>
      <c r="H98" s="6">
        <v>1497.0</v>
      </c>
      <c r="I98" s="6">
        <v>0.0</v>
      </c>
      <c r="J98" s="6">
        <v>0.0</v>
      </c>
      <c r="K98" s="6">
        <v>20.0</v>
      </c>
      <c r="L98" s="6">
        <v>130.0</v>
      </c>
    </row>
    <row r="99">
      <c r="A99" s="6" t="s">
        <v>57</v>
      </c>
      <c r="B99" s="6" t="s">
        <v>45</v>
      </c>
      <c r="C99" s="6">
        <v>500.0</v>
      </c>
      <c r="D99" s="6">
        <v>1499.0</v>
      </c>
      <c r="E99" s="6">
        <v>63.5</v>
      </c>
      <c r="F99" s="6">
        <v>153.0</v>
      </c>
      <c r="G99" s="6">
        <v>3.27</v>
      </c>
      <c r="H99" s="6">
        <v>1499.0</v>
      </c>
      <c r="I99" s="6">
        <v>0.0</v>
      </c>
      <c r="J99" s="6">
        <v>0.0</v>
      </c>
      <c r="K99" s="6">
        <v>17.0</v>
      </c>
      <c r="L99" s="6">
        <v>136.0</v>
      </c>
    </row>
    <row r="100">
      <c r="A100" s="6" t="s">
        <v>48</v>
      </c>
      <c r="B100" s="6" t="s">
        <v>45</v>
      </c>
      <c r="C100" s="6">
        <v>500.0</v>
      </c>
      <c r="D100" s="6">
        <v>1483.0</v>
      </c>
      <c r="E100" s="6">
        <v>60.9</v>
      </c>
      <c r="F100" s="6">
        <v>150.0</v>
      </c>
      <c r="G100" s="6">
        <v>3.33</v>
      </c>
      <c r="H100" s="6">
        <v>1483.0</v>
      </c>
      <c r="I100" s="6">
        <v>0.0</v>
      </c>
      <c r="J100" s="6">
        <v>0.0</v>
      </c>
      <c r="K100" s="6">
        <v>12.0</v>
      </c>
      <c r="L100" s="6">
        <v>138.0</v>
      </c>
    </row>
    <row r="101">
      <c r="A101" s="6" t="s">
        <v>78</v>
      </c>
      <c r="B101" s="6" t="s">
        <v>45</v>
      </c>
      <c r="C101" s="6">
        <v>500.0</v>
      </c>
      <c r="D101" s="6">
        <v>1498.0</v>
      </c>
      <c r="E101" s="6">
        <v>61.4</v>
      </c>
      <c r="F101" s="6">
        <v>155.0</v>
      </c>
      <c r="G101" s="6">
        <v>3.23</v>
      </c>
      <c r="H101" s="6">
        <v>1498.0</v>
      </c>
      <c r="I101" s="6">
        <v>0.0</v>
      </c>
      <c r="J101" s="6">
        <v>0.0</v>
      </c>
      <c r="K101" s="6">
        <v>18.0</v>
      </c>
      <c r="L101" s="6">
        <v>137.0</v>
      </c>
    </row>
    <row r="102">
      <c r="A102" s="6" t="s">
        <v>90</v>
      </c>
      <c r="B102" s="6" t="s">
        <v>45</v>
      </c>
      <c r="C102" s="6">
        <v>750.0</v>
      </c>
      <c r="D102" s="6">
        <v>2117.0</v>
      </c>
      <c r="E102" s="6">
        <v>147.4</v>
      </c>
      <c r="F102" s="6">
        <v>226.0</v>
      </c>
      <c r="G102" s="6">
        <v>3.32</v>
      </c>
      <c r="H102" s="6">
        <v>2117.0</v>
      </c>
      <c r="I102" s="6">
        <v>0.0</v>
      </c>
      <c r="J102" s="6">
        <v>1.0</v>
      </c>
      <c r="K102" s="6">
        <v>15.0</v>
      </c>
      <c r="L102" s="6">
        <v>210.0</v>
      </c>
    </row>
    <row r="103">
      <c r="A103" s="6" t="s">
        <v>127</v>
      </c>
      <c r="B103" s="6" t="s">
        <v>45</v>
      </c>
      <c r="C103" s="6">
        <v>750.0</v>
      </c>
      <c r="D103" s="6">
        <v>2128.0</v>
      </c>
      <c r="E103" s="6">
        <v>147.2</v>
      </c>
      <c r="F103" s="6">
        <v>229.0</v>
      </c>
      <c r="G103" s="6">
        <v>3.28</v>
      </c>
      <c r="H103" s="6">
        <v>2128.0</v>
      </c>
      <c r="I103" s="6">
        <v>0.0</v>
      </c>
      <c r="J103" s="6">
        <v>2.0</v>
      </c>
      <c r="K103" s="6">
        <v>23.0</v>
      </c>
      <c r="L103" s="6">
        <v>204.0</v>
      </c>
    </row>
    <row r="104">
      <c r="A104" s="6" t="s">
        <v>81</v>
      </c>
      <c r="B104" s="6" t="s">
        <v>45</v>
      </c>
      <c r="C104" s="6">
        <v>750.0</v>
      </c>
      <c r="D104" s="6">
        <v>1985.0</v>
      </c>
      <c r="E104" s="6">
        <v>145.1</v>
      </c>
      <c r="F104" s="6">
        <v>223.0</v>
      </c>
      <c r="G104" s="6">
        <v>3.36</v>
      </c>
      <c r="H104" s="6">
        <v>1985.0</v>
      </c>
      <c r="I104" s="6">
        <v>0.0</v>
      </c>
      <c r="J104" s="6">
        <v>0.0</v>
      </c>
      <c r="K104" s="6">
        <v>18.0</v>
      </c>
      <c r="L104" s="6">
        <v>205.0</v>
      </c>
    </row>
    <row r="105">
      <c r="A105" s="6" t="s">
        <v>154</v>
      </c>
      <c r="B105" s="6" t="s">
        <v>45</v>
      </c>
      <c r="C105" s="6">
        <v>750.0</v>
      </c>
      <c r="D105" s="6">
        <v>2138.0</v>
      </c>
      <c r="E105" s="6">
        <v>145.5</v>
      </c>
      <c r="F105" s="6">
        <v>223.0</v>
      </c>
      <c r="G105" s="6">
        <v>3.36</v>
      </c>
      <c r="H105" s="6">
        <v>2138.0</v>
      </c>
      <c r="I105" s="6">
        <v>0.0</v>
      </c>
      <c r="J105" s="6">
        <v>0.0</v>
      </c>
      <c r="K105" s="6">
        <v>15.0</v>
      </c>
      <c r="L105" s="6">
        <v>208.0</v>
      </c>
    </row>
    <row r="106">
      <c r="A106" s="6" t="s">
        <v>129</v>
      </c>
      <c r="B106" s="6" t="s">
        <v>45</v>
      </c>
      <c r="C106" s="6">
        <v>750.0</v>
      </c>
      <c r="D106" s="6">
        <v>2120.0</v>
      </c>
      <c r="E106" s="6">
        <v>146.4</v>
      </c>
      <c r="F106" s="6">
        <v>225.0</v>
      </c>
      <c r="G106" s="6">
        <v>3.33</v>
      </c>
      <c r="H106" s="6">
        <v>2120.0</v>
      </c>
      <c r="I106" s="6">
        <v>0.0</v>
      </c>
      <c r="J106" s="6">
        <v>0.0</v>
      </c>
      <c r="K106" s="6">
        <v>13.0</v>
      </c>
      <c r="L106" s="6">
        <v>212.0</v>
      </c>
    </row>
    <row r="107">
      <c r="A107" s="6" t="s">
        <v>83</v>
      </c>
      <c r="B107" s="6" t="s">
        <v>45</v>
      </c>
      <c r="C107" s="6">
        <v>1000.0</v>
      </c>
      <c r="D107" s="6">
        <v>2712.0</v>
      </c>
      <c r="E107" s="6">
        <v>273.5</v>
      </c>
      <c r="F107" s="6">
        <v>304.0</v>
      </c>
      <c r="G107" s="6">
        <v>3.29</v>
      </c>
      <c r="H107" s="6">
        <v>2712.0</v>
      </c>
      <c r="I107" s="6">
        <v>0.0</v>
      </c>
      <c r="J107" s="6">
        <v>0.0</v>
      </c>
      <c r="K107" s="6">
        <v>19.0</v>
      </c>
      <c r="L107" s="6">
        <v>285.0</v>
      </c>
    </row>
    <row r="108">
      <c r="A108" s="6" t="s">
        <v>144</v>
      </c>
      <c r="B108" s="6" t="s">
        <v>45</v>
      </c>
      <c r="C108" s="6">
        <v>1000.0</v>
      </c>
      <c r="D108" s="6">
        <v>2743.0</v>
      </c>
      <c r="E108" s="6">
        <v>274.3</v>
      </c>
      <c r="F108" s="6">
        <v>302.0</v>
      </c>
      <c r="G108" s="6">
        <v>3.31</v>
      </c>
      <c r="H108" s="6">
        <v>2743.0</v>
      </c>
      <c r="I108" s="6">
        <v>0.0</v>
      </c>
      <c r="J108" s="6">
        <v>1.0</v>
      </c>
      <c r="K108" s="6">
        <v>10.0</v>
      </c>
      <c r="L108" s="6">
        <v>291.0</v>
      </c>
    </row>
    <row r="109">
      <c r="A109" s="6" t="s">
        <v>63</v>
      </c>
      <c r="B109" s="6" t="s">
        <v>45</v>
      </c>
      <c r="C109" s="6">
        <v>1000.0</v>
      </c>
      <c r="D109" s="6">
        <v>2656.0</v>
      </c>
      <c r="E109" s="6">
        <v>278.5</v>
      </c>
      <c r="F109" s="6">
        <v>305.0</v>
      </c>
      <c r="G109" s="6">
        <v>3.28</v>
      </c>
      <c r="H109" s="6">
        <v>2656.0</v>
      </c>
      <c r="I109" s="6">
        <v>0.0</v>
      </c>
      <c r="J109" s="6">
        <v>1.0</v>
      </c>
      <c r="K109" s="6">
        <v>26.0</v>
      </c>
      <c r="L109" s="6">
        <v>278.0</v>
      </c>
    </row>
    <row r="110">
      <c r="A110" s="6" t="s">
        <v>79</v>
      </c>
      <c r="B110" s="6" t="s">
        <v>45</v>
      </c>
      <c r="C110" s="6">
        <v>1000.0</v>
      </c>
      <c r="D110" s="6">
        <v>2439.0</v>
      </c>
      <c r="E110" s="6">
        <v>270.8</v>
      </c>
      <c r="F110" s="6">
        <v>305.0</v>
      </c>
      <c r="G110" s="6">
        <v>3.28</v>
      </c>
      <c r="H110" s="6">
        <v>2439.0</v>
      </c>
      <c r="I110" s="6">
        <v>0.0</v>
      </c>
      <c r="J110" s="6">
        <v>0.0</v>
      </c>
      <c r="K110" s="6">
        <v>21.0</v>
      </c>
      <c r="L110" s="6">
        <v>284.0</v>
      </c>
    </row>
    <row r="111">
      <c r="A111" s="6" t="s">
        <v>64</v>
      </c>
      <c r="B111" s="6" t="s">
        <v>45</v>
      </c>
      <c r="C111" s="6">
        <v>1000.0</v>
      </c>
      <c r="D111" s="6">
        <v>2624.0</v>
      </c>
      <c r="E111" s="6">
        <v>273.4</v>
      </c>
      <c r="F111" s="6">
        <v>300.0</v>
      </c>
      <c r="G111" s="6">
        <v>3.33</v>
      </c>
      <c r="H111" s="6">
        <v>2624.0</v>
      </c>
      <c r="I111" s="6">
        <v>0.0</v>
      </c>
      <c r="J111" s="6">
        <v>0.0</v>
      </c>
      <c r="K111" s="6">
        <v>25.0</v>
      </c>
      <c r="L111" s="6">
        <v>275.0</v>
      </c>
    </row>
  </sheetData>
  <autoFilter ref="$A$1:$L$11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3" width="18.38"/>
    <col customWidth="1" min="4" max="4" width="16.63"/>
    <col customWidth="1" min="5" max="5" width="17.0"/>
    <col customWidth="1" min="6" max="6" width="17.75"/>
    <col customWidth="1" min="7" max="7" width="18.13"/>
    <col customWidth="1" min="8" max="9" width="19.25"/>
  </cols>
  <sheetData>
    <row r="1">
      <c r="A1" s="6" t="s">
        <v>38</v>
      </c>
      <c r="B1" s="6" t="s">
        <v>39</v>
      </c>
      <c r="C1" s="6" t="s">
        <v>190</v>
      </c>
      <c r="D1" s="6" t="s">
        <v>191</v>
      </c>
      <c r="E1" s="34" t="s">
        <v>192</v>
      </c>
      <c r="F1" s="34" t="s">
        <v>193</v>
      </c>
      <c r="G1" s="6" t="s">
        <v>194</v>
      </c>
      <c r="H1" s="6" t="s">
        <v>195</v>
      </c>
      <c r="I1" s="34" t="s">
        <v>196</v>
      </c>
    </row>
    <row r="2" hidden="1">
      <c r="A2" s="11" t="s">
        <v>93</v>
      </c>
      <c r="B2" s="11" t="s">
        <v>53</v>
      </c>
      <c r="C2" s="11" t="str">
        <f>VLOOKUP(A2, 'Indicadores instancias'!$A$1:$I$111, 3, FALSE)</f>
        <v>Pequeña</v>
      </c>
      <c r="D2" s="35">
        <f>MAX(EM_v4_s1!D2,EM_v4_s2!D2,EM_v4_s3!D2,EM_v4_s4!D2,EM_v4_s5!D2)</f>
        <v>185</v>
      </c>
      <c r="E2" s="36">
        <f>AVERAGE(EM_v4_s1!D2,EM_v4_s2!D2,EM_v4_s3!D2,EM_v4_s4!D2,EM_v4_s5!D2)</f>
        <v>185</v>
      </c>
      <c r="F2" s="36">
        <f>AVERAGE(EM_v4_s1!E2,EM_v4_s2!E2,EM_v4_s3!E2,EM_v4_s4!E2,EM_v4_s5!E2)</f>
        <v>0</v>
      </c>
      <c r="G2" s="37">
        <f t="shared" ref="G2:G111" si="1">D2-E2</f>
        <v>0</v>
      </c>
      <c r="H2" s="38">
        <f>MIN(EM_v4_s1!D2,EM_v4_s2!D2,EM_v4_s3!D2,EM_v4_s4!D2,EM_v4_s5!D2)</f>
        <v>185</v>
      </c>
      <c r="I2" s="37">
        <f t="shared" ref="I2:I111" si="2">((D2-H2)/D2)*100</f>
        <v>0</v>
      </c>
    </row>
    <row r="3" hidden="1">
      <c r="A3" s="11" t="s">
        <v>36</v>
      </c>
      <c r="B3" s="11" t="s">
        <v>53</v>
      </c>
      <c r="C3" s="11" t="str">
        <f>VLOOKUP(A3, 'Indicadores instancias'!$A$1:$I$111, 3, FALSE)</f>
        <v>Pequeña</v>
      </c>
      <c r="D3" s="35">
        <f>MAX(EM_v4_s1!D3,EM_v4_s2!D3,EM_v4_s3!D3,EM_v4_s4!D3,EM_v4_s5!D3)</f>
        <v>159</v>
      </c>
      <c r="E3" s="36">
        <f>AVERAGE(EM_v4_s1!D3,EM_v4_s2!D3,EM_v4_s3!D3,EM_v4_s4!D3,EM_v4_s5!D3)</f>
        <v>159</v>
      </c>
      <c r="F3" s="36">
        <f>AVERAGE(EM_v4_s1!E3,EM_v4_s2!E3,EM_v4_s3!E3,EM_v4_s4!E3,EM_v4_s5!E3)</f>
        <v>0</v>
      </c>
      <c r="G3" s="37">
        <f t="shared" si="1"/>
        <v>0</v>
      </c>
      <c r="H3" s="38">
        <f>MIN(EM_v4_s1!D3,EM_v4_s2!D3,EM_v4_s3!D3,EM_v4_s4!D3,EM_v4_s5!D3)</f>
        <v>159</v>
      </c>
      <c r="I3" s="37">
        <f t="shared" si="2"/>
        <v>0</v>
      </c>
    </row>
    <row r="4" hidden="1">
      <c r="A4" s="11" t="s">
        <v>55</v>
      </c>
      <c r="B4" s="11" t="s">
        <v>53</v>
      </c>
      <c r="C4" s="11" t="str">
        <f>VLOOKUP(A4, 'Indicadores instancias'!$A$1:$I$111, 3, FALSE)</f>
        <v>Pequeña</v>
      </c>
      <c r="D4" s="35">
        <f>MAX(EM_v4_s1!D4,EM_v4_s2!D4,EM_v4_s3!D4,EM_v4_s4!D4,EM_v4_s5!D4)</f>
        <v>378</v>
      </c>
      <c r="E4" s="36">
        <f>AVERAGE(EM_v4_s1!D4,EM_v4_s2!D4,EM_v4_s3!D4,EM_v4_s4!D4,EM_v4_s5!D4)</f>
        <v>378</v>
      </c>
      <c r="F4" s="36">
        <f>AVERAGE(EM_v4_s1!E4,EM_v4_s2!E4,EM_v4_s3!E4,EM_v4_s4!E4,EM_v4_s5!E4)</f>
        <v>0.1</v>
      </c>
      <c r="G4" s="37">
        <f t="shared" si="1"/>
        <v>0</v>
      </c>
      <c r="H4" s="38">
        <f>MIN(EM_v4_s1!D4,EM_v4_s2!D4,EM_v4_s3!D4,EM_v4_s4!D4,EM_v4_s5!D4)</f>
        <v>378</v>
      </c>
      <c r="I4" s="37">
        <f t="shared" si="2"/>
        <v>0</v>
      </c>
    </row>
    <row r="5" hidden="1">
      <c r="A5" s="11" t="s">
        <v>141</v>
      </c>
      <c r="B5" s="11" t="s">
        <v>53</v>
      </c>
      <c r="C5" s="11" t="str">
        <f>VLOOKUP(A5, 'Indicadores instancias'!$A$1:$I$111, 3, FALSE)</f>
        <v>Pequeña</v>
      </c>
      <c r="D5" s="35">
        <f>MAX(EM_v4_s1!D5,EM_v4_s2!D5,EM_v4_s3!D5,EM_v4_s4!D5,EM_v4_s5!D5)</f>
        <v>247</v>
      </c>
      <c r="E5" s="36">
        <f>AVERAGE(EM_v4_s1!D5,EM_v4_s2!D5,EM_v4_s3!D5,EM_v4_s4!D5,EM_v4_s5!D5)</f>
        <v>247</v>
      </c>
      <c r="F5" s="36">
        <f>AVERAGE(EM_v4_s1!E5,EM_v4_s2!E5,EM_v4_s3!E5,EM_v4_s4!E5,EM_v4_s5!E5)</f>
        <v>0.1</v>
      </c>
      <c r="G5" s="37">
        <f t="shared" si="1"/>
        <v>0</v>
      </c>
      <c r="H5" s="38">
        <f>MIN(EM_v4_s1!D5,EM_v4_s2!D5,EM_v4_s3!D5,EM_v4_s4!D5,EM_v4_s5!D5)</f>
        <v>247</v>
      </c>
      <c r="I5" s="37">
        <f t="shared" si="2"/>
        <v>0</v>
      </c>
    </row>
    <row r="6" hidden="1">
      <c r="A6" s="11" t="s">
        <v>109</v>
      </c>
      <c r="B6" s="11" t="s">
        <v>53</v>
      </c>
      <c r="C6" s="11" t="str">
        <f>VLOOKUP(A6, 'Indicadores instancias'!$A$1:$I$111, 3, FALSE)</f>
        <v>Pequeña</v>
      </c>
      <c r="D6" s="35">
        <f>MAX(EM_v4_s1!D6,EM_v4_s2!D6,EM_v4_s3!D6,EM_v4_s4!D6,EM_v4_s5!D6)</f>
        <v>419</v>
      </c>
      <c r="E6" s="36">
        <f>AVERAGE(EM_v4_s1!D6,EM_v4_s2!D6,EM_v4_s3!D6,EM_v4_s4!D6,EM_v4_s5!D6)</f>
        <v>419</v>
      </c>
      <c r="F6" s="36">
        <f>AVERAGE(EM_v4_s1!E6,EM_v4_s2!E6,EM_v4_s3!E6,EM_v4_s4!E6,EM_v4_s5!E6)</f>
        <v>0.12</v>
      </c>
      <c r="G6" s="37">
        <f t="shared" si="1"/>
        <v>0</v>
      </c>
      <c r="H6" s="38">
        <f>MIN(EM_v4_s1!D6,EM_v4_s2!D6,EM_v4_s3!D6,EM_v4_s4!D6,EM_v4_s5!D6)</f>
        <v>419</v>
      </c>
      <c r="I6" s="37">
        <f t="shared" si="2"/>
        <v>0</v>
      </c>
    </row>
    <row r="7" hidden="1">
      <c r="A7" s="11" t="s">
        <v>85</v>
      </c>
      <c r="B7" s="11" t="s">
        <v>53</v>
      </c>
      <c r="C7" s="11" t="str">
        <f>VLOOKUP(A7, 'Indicadores instancias'!$A$1:$I$111, 3, FALSE)</f>
        <v>Pequeña</v>
      </c>
      <c r="D7" s="35">
        <f>MAX(EM_v4_s1!D7,EM_v4_s2!D7,EM_v4_s3!D7,EM_v4_s4!D7,EM_v4_s5!D7)</f>
        <v>363</v>
      </c>
      <c r="E7" s="36">
        <f>AVERAGE(EM_v4_s1!D7,EM_v4_s2!D7,EM_v4_s3!D7,EM_v4_s4!D7,EM_v4_s5!D7)</f>
        <v>363</v>
      </c>
      <c r="F7" s="36">
        <f>AVERAGE(EM_v4_s1!E7,EM_v4_s2!E7,EM_v4_s3!E7,EM_v4_s4!E7,EM_v4_s5!E7)</f>
        <v>0.1</v>
      </c>
      <c r="G7" s="37">
        <f t="shared" si="1"/>
        <v>0</v>
      </c>
      <c r="H7" s="38">
        <f>MIN(EM_v4_s1!D7,EM_v4_s2!D7,EM_v4_s3!D7,EM_v4_s4!D7,EM_v4_s5!D7)</f>
        <v>363</v>
      </c>
      <c r="I7" s="37">
        <f t="shared" si="2"/>
        <v>0</v>
      </c>
    </row>
    <row r="8" hidden="1">
      <c r="A8" s="11" t="s">
        <v>105</v>
      </c>
      <c r="B8" s="11" t="s">
        <v>53</v>
      </c>
      <c r="C8" s="11" t="str">
        <f>VLOOKUP(A8, 'Indicadores instancias'!$A$1:$I$111, 3, FALSE)</f>
        <v>Mediana</v>
      </c>
      <c r="D8" s="35">
        <f>MAX(EM_v4_s1!D8,EM_v4_s2!D8,EM_v4_s3!D8,EM_v4_s4!D8,EM_v4_s5!D8)</f>
        <v>467</v>
      </c>
      <c r="E8" s="36">
        <f>AVERAGE(EM_v4_s1!D8,EM_v4_s2!D8,EM_v4_s3!D8,EM_v4_s4!D8,EM_v4_s5!D8)</f>
        <v>467</v>
      </c>
      <c r="F8" s="36">
        <f>AVERAGE(EM_v4_s1!E8,EM_v4_s2!E8,EM_v4_s3!E8,EM_v4_s4!E8,EM_v4_s5!E8)</f>
        <v>0.2</v>
      </c>
      <c r="G8" s="37">
        <f t="shared" si="1"/>
        <v>0</v>
      </c>
      <c r="H8" s="38">
        <f>MIN(EM_v4_s1!D8,EM_v4_s2!D8,EM_v4_s3!D8,EM_v4_s4!D8,EM_v4_s5!D8)</f>
        <v>467</v>
      </c>
      <c r="I8" s="37">
        <f t="shared" si="2"/>
        <v>0</v>
      </c>
    </row>
    <row r="9" hidden="1">
      <c r="A9" s="11" t="s">
        <v>126</v>
      </c>
      <c r="B9" s="11" t="s">
        <v>53</v>
      </c>
      <c r="C9" s="11" t="str">
        <f>VLOOKUP(A9, 'Indicadores instancias'!$A$1:$I$111, 3, FALSE)</f>
        <v>Mediana</v>
      </c>
      <c r="D9" s="35">
        <f>MAX(EM_v4_s1!D9,EM_v4_s2!D9,EM_v4_s3!D9,EM_v4_s4!D9,EM_v4_s5!D9)</f>
        <v>513</v>
      </c>
      <c r="E9" s="36">
        <f>AVERAGE(EM_v4_s1!D9,EM_v4_s2!D9,EM_v4_s3!D9,EM_v4_s4!D9,EM_v4_s5!D9)</f>
        <v>513</v>
      </c>
      <c r="F9" s="36">
        <f>AVERAGE(EM_v4_s1!E9,EM_v4_s2!E9,EM_v4_s3!E9,EM_v4_s4!E9,EM_v4_s5!E9)</f>
        <v>0.2</v>
      </c>
      <c r="G9" s="37">
        <f t="shared" si="1"/>
        <v>0</v>
      </c>
      <c r="H9" s="38">
        <f>MIN(EM_v4_s1!D9,EM_v4_s2!D9,EM_v4_s3!D9,EM_v4_s4!D9,EM_v4_s5!D9)</f>
        <v>513</v>
      </c>
      <c r="I9" s="37">
        <f t="shared" si="2"/>
        <v>0</v>
      </c>
    </row>
    <row r="10" hidden="1">
      <c r="A10" s="11" t="s">
        <v>65</v>
      </c>
      <c r="B10" s="11" t="s">
        <v>53</v>
      </c>
      <c r="C10" s="11" t="str">
        <f>VLOOKUP(A10, 'Indicadores instancias'!$A$1:$I$111, 3, FALSE)</f>
        <v>Mediana</v>
      </c>
      <c r="D10" s="35">
        <f>MAX(EM_v4_s1!D10,EM_v4_s2!D10,EM_v4_s3!D10,EM_v4_s4!D10,EM_v4_s5!D10)</f>
        <v>757</v>
      </c>
      <c r="E10" s="36">
        <f>AVERAGE(EM_v4_s1!D10,EM_v4_s2!D10,EM_v4_s3!D10,EM_v4_s4!D10,EM_v4_s5!D10)</f>
        <v>757</v>
      </c>
      <c r="F10" s="36">
        <f>AVERAGE(EM_v4_s1!E10,EM_v4_s2!E10,EM_v4_s3!E10,EM_v4_s4!E10,EM_v4_s5!E10)</f>
        <v>0.2</v>
      </c>
      <c r="G10" s="37">
        <f t="shared" si="1"/>
        <v>0</v>
      </c>
      <c r="H10" s="38">
        <f>MIN(EM_v4_s1!D10,EM_v4_s2!D10,EM_v4_s3!D10,EM_v4_s4!D10,EM_v4_s5!D10)</f>
        <v>757</v>
      </c>
      <c r="I10" s="37">
        <f t="shared" si="2"/>
        <v>0</v>
      </c>
    </row>
    <row r="11" hidden="1">
      <c r="A11" s="11" t="s">
        <v>114</v>
      </c>
      <c r="B11" s="11" t="s">
        <v>53</v>
      </c>
      <c r="C11" s="11" t="str">
        <f>VLOOKUP(A11, 'Indicadores instancias'!$A$1:$I$111, 3, FALSE)</f>
        <v>Mediana</v>
      </c>
      <c r="D11" s="35">
        <f>MAX(EM_v4_s1!D11,EM_v4_s2!D11,EM_v4_s3!D11,EM_v4_s4!D11,EM_v4_s5!D11)</f>
        <v>881</v>
      </c>
      <c r="E11" s="36">
        <f>AVERAGE(EM_v4_s1!D11,EM_v4_s2!D11,EM_v4_s3!D11,EM_v4_s4!D11,EM_v4_s5!D11)</f>
        <v>881</v>
      </c>
      <c r="F11" s="36">
        <f>AVERAGE(EM_v4_s1!E11,EM_v4_s2!E11,EM_v4_s3!E11,EM_v4_s4!E11,EM_v4_s5!E11)</f>
        <v>0.4</v>
      </c>
      <c r="G11" s="37">
        <f t="shared" si="1"/>
        <v>0</v>
      </c>
      <c r="H11" s="38">
        <f>MIN(EM_v4_s1!D11,EM_v4_s2!D11,EM_v4_s3!D11,EM_v4_s4!D11,EM_v4_s5!D11)</f>
        <v>881</v>
      </c>
      <c r="I11" s="37">
        <f t="shared" si="2"/>
        <v>0</v>
      </c>
    </row>
    <row r="12" hidden="1">
      <c r="A12" s="39" t="s">
        <v>69</v>
      </c>
      <c r="B12" s="39" t="s">
        <v>53</v>
      </c>
      <c r="C12" s="39" t="str">
        <f>VLOOKUP(A12, 'Indicadores instancias'!$A$1:$I$111, 3, FALSE)</f>
        <v>Mediana</v>
      </c>
      <c r="D12" s="40">
        <f>MAX(EM_v4_s1!D12,EM_v4_s2!D12,EM_v4_s3!D12,EM_v4_s4!D12,EM_v4_s5!D12)</f>
        <v>1105</v>
      </c>
      <c r="E12" s="41">
        <f>AVERAGE(EM_v4_s1!D12,EM_v4_s2!D12,EM_v4_s3!D12,EM_v4_s4!D12,EM_v4_s5!D12)</f>
        <v>1099.4</v>
      </c>
      <c r="F12" s="41">
        <f>AVERAGE(EM_v4_s1!E12,EM_v4_s2!E12,EM_v4_s3!E12,EM_v4_s4!E12,EM_v4_s5!E12)</f>
        <v>0.6</v>
      </c>
      <c r="G12" s="41">
        <f t="shared" si="1"/>
        <v>5.6</v>
      </c>
      <c r="H12" s="40">
        <f>MIN(EM_v4_s1!D12,EM_v4_s2!D12,EM_v4_s3!D12,EM_v4_s4!D12,EM_v4_s5!D12)</f>
        <v>1077</v>
      </c>
      <c r="I12" s="41">
        <f t="shared" si="2"/>
        <v>2.533936652</v>
      </c>
    </row>
    <row r="13" hidden="1">
      <c r="A13" s="11" t="s">
        <v>150</v>
      </c>
      <c r="B13" s="11" t="s">
        <v>53</v>
      </c>
      <c r="C13" s="11" t="str">
        <f>VLOOKUP(A13, 'Indicadores instancias'!$A$1:$I$111, 3, FALSE)</f>
        <v>Mediana</v>
      </c>
      <c r="D13" s="35">
        <f>MAX(EM_v4_s1!D13,EM_v4_s2!D13,EM_v4_s3!D13,EM_v4_s4!D13,EM_v4_s5!D13)</f>
        <v>1302</v>
      </c>
      <c r="E13" s="36">
        <f>AVERAGE(EM_v4_s1!D13,EM_v4_s2!D13,EM_v4_s3!D13,EM_v4_s4!D13,EM_v4_s5!D13)</f>
        <v>1302</v>
      </c>
      <c r="F13" s="36">
        <f>AVERAGE(EM_v4_s1!E13,EM_v4_s2!E13,EM_v4_s3!E13,EM_v4_s4!E13,EM_v4_s5!E13)</f>
        <v>0.5</v>
      </c>
      <c r="G13" s="37">
        <f t="shared" si="1"/>
        <v>0</v>
      </c>
      <c r="H13" s="38">
        <f>MIN(EM_v4_s1!D13,EM_v4_s2!D13,EM_v4_s3!D13,EM_v4_s4!D13,EM_v4_s5!D13)</f>
        <v>1302</v>
      </c>
      <c r="I13" s="37">
        <f t="shared" si="2"/>
        <v>0</v>
      </c>
    </row>
    <row r="14" hidden="1">
      <c r="A14" s="11" t="s">
        <v>123</v>
      </c>
      <c r="B14" s="11" t="s">
        <v>53</v>
      </c>
      <c r="C14" s="11" t="str">
        <f>VLOOKUP(A14, 'Indicadores instancias'!$A$1:$I$111, 3, FALSE)</f>
        <v>Mediana</v>
      </c>
      <c r="D14" s="35">
        <f>MAX(EM_v4_s1!D14,EM_v4_s2!D14,EM_v4_s3!D14,EM_v4_s4!D14,EM_v4_s5!D14)</f>
        <v>1327</v>
      </c>
      <c r="E14" s="36">
        <f>AVERAGE(EM_v4_s1!D14,EM_v4_s2!D14,EM_v4_s3!D14,EM_v4_s4!D14,EM_v4_s5!D14)</f>
        <v>1327</v>
      </c>
      <c r="F14" s="36">
        <f>AVERAGE(EM_v4_s1!E14,EM_v4_s2!E14,EM_v4_s3!E14,EM_v4_s4!E14,EM_v4_s5!E14)</f>
        <v>1.3</v>
      </c>
      <c r="G14" s="37">
        <f t="shared" si="1"/>
        <v>0</v>
      </c>
      <c r="H14" s="38">
        <f>MIN(EM_v4_s1!D14,EM_v4_s2!D14,EM_v4_s3!D14,EM_v4_s4!D14,EM_v4_s5!D14)</f>
        <v>1327</v>
      </c>
      <c r="I14" s="37">
        <f t="shared" si="2"/>
        <v>0</v>
      </c>
    </row>
    <row r="15">
      <c r="A15" s="6" t="s">
        <v>61</v>
      </c>
      <c r="B15" s="6" t="s">
        <v>53</v>
      </c>
      <c r="C15" s="6" t="str">
        <f>VLOOKUP(A15, 'Indicadores instancias'!$A$1:$I$111, 3, FALSE)</f>
        <v>Grande</v>
      </c>
      <c r="D15" s="38">
        <f>MAX(EM_v4_s1!D15,EM_v4_s2!D15,EM_v4_s3!D15,EM_v4_s4!D15,EM_v4_s5!D15)</f>
        <v>1206</v>
      </c>
      <c r="E15" s="37">
        <f>AVERAGE(EM_v4_s1!D15,EM_v4_s2!D15,EM_v4_s3!D15,EM_v4_s4!D15,EM_v4_s5!D15)</f>
        <v>1198</v>
      </c>
      <c r="F15" s="37">
        <f>AVERAGE(EM_v4_s1!E15,EM_v4_s2!E15,EM_v4_s3!E15,EM_v4_s4!E15,EM_v4_s5!E15)</f>
        <v>2.22</v>
      </c>
      <c r="G15" s="37">
        <f t="shared" si="1"/>
        <v>8</v>
      </c>
      <c r="H15" s="38">
        <f>MIN(EM_v4_s1!D15,EM_v4_s2!D15,EM_v4_s3!D15,EM_v4_s4!D15,EM_v4_s5!D15)</f>
        <v>1196</v>
      </c>
      <c r="I15" s="37">
        <f t="shared" si="2"/>
        <v>0.8291873964</v>
      </c>
    </row>
    <row r="16">
      <c r="A16" s="6" t="s">
        <v>100</v>
      </c>
      <c r="B16" s="6" t="s">
        <v>53</v>
      </c>
      <c r="C16" s="6" t="str">
        <f>VLOOKUP(A16, 'Indicadores instancias'!$A$1:$I$111, 3, FALSE)</f>
        <v>Grande</v>
      </c>
      <c r="D16" s="38">
        <f>MAX(EM_v4_s1!D16,EM_v4_s2!D16,EM_v4_s3!D16,EM_v4_s4!D16,EM_v4_s5!D16)</f>
        <v>1624</v>
      </c>
      <c r="E16" s="37">
        <f>AVERAGE(EM_v4_s1!D16,EM_v4_s2!D16,EM_v4_s3!D16,EM_v4_s4!D16,EM_v4_s5!D16)</f>
        <v>1611.2</v>
      </c>
      <c r="F16" s="37">
        <f>AVERAGE(EM_v4_s1!E16,EM_v4_s2!E16,EM_v4_s3!E16,EM_v4_s4!E16,EM_v4_s5!E16)</f>
        <v>2.2</v>
      </c>
      <c r="G16" s="37">
        <f t="shared" si="1"/>
        <v>12.8</v>
      </c>
      <c r="H16" s="38">
        <f>MIN(EM_v4_s1!D16,EM_v4_s2!D16,EM_v4_s3!D16,EM_v4_s4!D16,EM_v4_s5!D16)</f>
        <v>1584</v>
      </c>
      <c r="I16" s="37">
        <f t="shared" si="2"/>
        <v>2.463054187</v>
      </c>
    </row>
    <row r="17">
      <c r="A17" s="6" t="s">
        <v>94</v>
      </c>
      <c r="B17" s="6" t="s">
        <v>53</v>
      </c>
      <c r="C17" s="6" t="str">
        <f>VLOOKUP(A17, 'Indicadores instancias'!$A$1:$I$111, 3, FALSE)</f>
        <v>Grande</v>
      </c>
      <c r="D17" s="38">
        <f>MAX(EM_v4_s1!D17,EM_v4_s2!D17,EM_v4_s3!D17,EM_v4_s4!D17,EM_v4_s5!D17)</f>
        <v>1809</v>
      </c>
      <c r="E17" s="37">
        <f>AVERAGE(EM_v4_s1!D17,EM_v4_s2!D17,EM_v4_s3!D17,EM_v4_s4!D17,EM_v4_s5!D17)</f>
        <v>1802</v>
      </c>
      <c r="F17" s="37">
        <f>AVERAGE(EM_v4_s1!E17,EM_v4_s2!E17,EM_v4_s3!E17,EM_v4_s4!E17,EM_v4_s5!E17)</f>
        <v>4.94</v>
      </c>
      <c r="G17" s="37">
        <f t="shared" si="1"/>
        <v>7</v>
      </c>
      <c r="H17" s="38">
        <f>MIN(EM_v4_s1!D17,EM_v4_s2!D17,EM_v4_s3!D17,EM_v4_s4!D17,EM_v4_s5!D17)</f>
        <v>1790</v>
      </c>
      <c r="I17" s="37">
        <f t="shared" si="2"/>
        <v>1.050304035</v>
      </c>
    </row>
    <row r="18">
      <c r="A18" s="6" t="s">
        <v>132</v>
      </c>
      <c r="B18" s="6" t="s">
        <v>53</v>
      </c>
      <c r="C18" s="6" t="str">
        <f>VLOOKUP(A18, 'Indicadores instancias'!$A$1:$I$111, 3, FALSE)</f>
        <v>Grande</v>
      </c>
      <c r="D18" s="38">
        <f>MAX(EM_v4_s1!D18,EM_v4_s2!D18,EM_v4_s3!D18,EM_v4_s4!D18,EM_v4_s5!D18)</f>
        <v>2214</v>
      </c>
      <c r="E18" s="37">
        <f>AVERAGE(EM_v4_s1!D18,EM_v4_s2!D18,EM_v4_s3!D18,EM_v4_s4!D18,EM_v4_s5!D18)</f>
        <v>2203.6</v>
      </c>
      <c r="F18" s="37">
        <f>AVERAGE(EM_v4_s1!E18,EM_v4_s2!E18,EM_v4_s3!E18,EM_v4_s4!E18,EM_v4_s5!E18)</f>
        <v>9.74</v>
      </c>
      <c r="G18" s="37">
        <f t="shared" si="1"/>
        <v>10.4</v>
      </c>
      <c r="H18" s="38">
        <f>MIN(EM_v4_s1!D18,EM_v4_s2!D18,EM_v4_s3!D18,EM_v4_s4!D18,EM_v4_s5!D18)</f>
        <v>2191</v>
      </c>
      <c r="I18" s="37">
        <f t="shared" si="2"/>
        <v>1.038843722</v>
      </c>
    </row>
    <row r="19">
      <c r="A19" s="6" t="s">
        <v>110</v>
      </c>
      <c r="B19" s="6" t="s">
        <v>53</v>
      </c>
      <c r="C19" s="6" t="str">
        <f>VLOOKUP(A19, 'Indicadores instancias'!$A$1:$I$111, 3, FALSE)</f>
        <v>Grande</v>
      </c>
      <c r="D19" s="38">
        <f>MAX(EM_v4_s1!D19,EM_v4_s2!D19,EM_v4_s3!D19,EM_v4_s4!D19,EM_v4_s5!D19)</f>
        <v>2712</v>
      </c>
      <c r="E19" s="37">
        <f>AVERAGE(EM_v4_s1!D19,EM_v4_s2!D19,EM_v4_s3!D19,EM_v4_s4!D19,EM_v4_s5!D19)</f>
        <v>2700.8</v>
      </c>
      <c r="F19" s="37">
        <f>AVERAGE(EM_v4_s1!E19,EM_v4_s2!E19,EM_v4_s3!E19,EM_v4_s4!E19,EM_v4_s5!E19)</f>
        <v>9.64</v>
      </c>
      <c r="G19" s="37">
        <f t="shared" si="1"/>
        <v>11.2</v>
      </c>
      <c r="H19" s="38">
        <f>MIN(EM_v4_s1!D19,EM_v4_s2!D19,EM_v4_s3!D19,EM_v4_s4!D19,EM_v4_s5!D19)</f>
        <v>2673</v>
      </c>
      <c r="I19" s="37">
        <f t="shared" si="2"/>
        <v>1.438053097</v>
      </c>
    </row>
    <row r="20">
      <c r="A20" s="6" t="s">
        <v>52</v>
      </c>
      <c r="B20" s="6" t="s">
        <v>53</v>
      </c>
      <c r="C20" s="6" t="str">
        <f>VLOOKUP(A20, 'Indicadores instancias'!$A$1:$I$111, 3, FALSE)</f>
        <v>Grande</v>
      </c>
      <c r="D20" s="38">
        <f>MAX(EM_v4_s1!D20,EM_v4_s2!D20,EM_v4_s3!D20,EM_v4_s4!D20,EM_v4_s5!D20)</f>
        <v>2981</v>
      </c>
      <c r="E20" s="37">
        <f>AVERAGE(EM_v4_s1!D20,EM_v4_s2!D20,EM_v4_s3!D20,EM_v4_s4!D20,EM_v4_s5!D20)</f>
        <v>2956.8</v>
      </c>
      <c r="F20" s="37">
        <f>AVERAGE(EM_v4_s1!E20,EM_v4_s2!E20,EM_v4_s3!E20,EM_v4_s4!E20,EM_v4_s5!E20)</f>
        <v>20.8</v>
      </c>
      <c r="G20" s="37">
        <f t="shared" si="1"/>
        <v>24.2</v>
      </c>
      <c r="H20" s="38">
        <f>MIN(EM_v4_s1!D20,EM_v4_s2!D20,EM_v4_s3!D20,EM_v4_s4!D20,EM_v4_s5!D20)</f>
        <v>2933</v>
      </c>
      <c r="I20" s="37">
        <f t="shared" si="2"/>
        <v>1.61019792</v>
      </c>
    </row>
    <row r="21">
      <c r="A21" s="6" t="s">
        <v>86</v>
      </c>
      <c r="B21" s="6" t="s">
        <v>53</v>
      </c>
      <c r="C21" s="6" t="str">
        <f>VLOOKUP(A21, 'Indicadores instancias'!$A$1:$I$111, 3, FALSE)</f>
        <v>Grande</v>
      </c>
      <c r="D21" s="38">
        <f>MAX(EM_v4_s1!D21,EM_v4_s2!D21,EM_v4_s3!D21,EM_v4_s4!D21,EM_v4_s5!D21)</f>
        <v>4065</v>
      </c>
      <c r="E21" s="37">
        <f>AVERAGE(EM_v4_s1!D21,EM_v4_s2!D21,EM_v4_s3!D21,EM_v4_s4!D21,EM_v4_s5!D21)</f>
        <v>4038.6</v>
      </c>
      <c r="F21" s="37">
        <f>AVERAGE(EM_v4_s1!E21,EM_v4_s2!E21,EM_v4_s3!E21,EM_v4_s4!E21,EM_v4_s5!E21)</f>
        <v>64.32</v>
      </c>
      <c r="G21" s="37">
        <f t="shared" si="1"/>
        <v>26.4</v>
      </c>
      <c r="H21" s="38">
        <f>MIN(EM_v4_s1!D21,EM_v4_s2!D21,EM_v4_s3!D21,EM_v4_s4!D21,EM_v4_s5!D21)</f>
        <v>4024</v>
      </c>
      <c r="I21" s="37">
        <f t="shared" si="2"/>
        <v>1.008610086</v>
      </c>
    </row>
    <row r="22" hidden="1">
      <c r="A22" s="6" t="s">
        <v>125</v>
      </c>
      <c r="B22" s="6" t="s">
        <v>45</v>
      </c>
      <c r="C22" s="6" t="str">
        <f>VLOOKUP(A22, 'Indicadores instancias'!$A$1:$I$111, 3, FALSE)</f>
        <v>Pequeña</v>
      </c>
      <c r="D22" s="38">
        <f>MAX(EM_v4_s1!D22,EM_v4_s2!D22,EM_v4_s3!D22,EM_v4_s4!D22,EM_v4_s5!D22)</f>
        <v>13</v>
      </c>
      <c r="E22" s="37">
        <f>AVERAGE(EM_v4_s1!D22,EM_v4_s2!D22,EM_v4_s3!D22,EM_v4_s4!D22,EM_v4_s5!D22)</f>
        <v>13</v>
      </c>
      <c r="F22" s="37">
        <f>AVERAGE(EM_v4_s1!E22,EM_v4_s2!E22,EM_v4_s3!E22,EM_v4_s4!E22,EM_v4_s5!E22)</f>
        <v>0</v>
      </c>
      <c r="G22" s="37">
        <f t="shared" si="1"/>
        <v>0</v>
      </c>
      <c r="H22" s="38">
        <f>MIN(EM_v4_s1!D22,EM_v4_s2!D22,EM_v4_s3!D22,EM_v4_s4!D22,EM_v4_s5!D22)</f>
        <v>13</v>
      </c>
      <c r="I22" s="37">
        <f t="shared" si="2"/>
        <v>0</v>
      </c>
    </row>
    <row r="23" hidden="1">
      <c r="A23" s="6" t="s">
        <v>111</v>
      </c>
      <c r="B23" s="6" t="s">
        <v>45</v>
      </c>
      <c r="C23" s="6" t="str">
        <f>VLOOKUP(A23, 'Indicadores instancias'!$A$1:$I$111, 3, FALSE)</f>
        <v>Pequeña</v>
      </c>
      <c r="D23" s="38">
        <f>MAX(EM_v4_s1!D23,EM_v4_s2!D23,EM_v4_s3!D23,EM_v4_s4!D23,EM_v4_s5!D23)</f>
        <v>12</v>
      </c>
      <c r="E23" s="37">
        <f>AVERAGE(EM_v4_s1!D23,EM_v4_s2!D23,EM_v4_s3!D23,EM_v4_s4!D23,EM_v4_s5!D23)</f>
        <v>12</v>
      </c>
      <c r="F23" s="37">
        <f>AVERAGE(EM_v4_s1!E23,EM_v4_s2!E23,EM_v4_s3!E23,EM_v4_s4!E23,EM_v4_s5!E23)</f>
        <v>0</v>
      </c>
      <c r="G23" s="37">
        <f t="shared" si="1"/>
        <v>0</v>
      </c>
      <c r="H23" s="38">
        <f>MIN(EM_v4_s1!D23,EM_v4_s2!D23,EM_v4_s3!D23,EM_v4_s4!D23,EM_v4_s5!D23)</f>
        <v>12</v>
      </c>
      <c r="I23" s="37">
        <f t="shared" si="2"/>
        <v>0</v>
      </c>
    </row>
    <row r="24" hidden="1">
      <c r="A24" s="6" t="s">
        <v>133</v>
      </c>
      <c r="B24" s="6" t="s">
        <v>45</v>
      </c>
      <c r="C24" s="6" t="str">
        <f>VLOOKUP(A24, 'Indicadores instancias'!$A$1:$I$111, 3, FALSE)</f>
        <v>Pequeña</v>
      </c>
      <c r="D24" s="38">
        <f>MAX(EM_v4_s1!D24,EM_v4_s2!D24,EM_v4_s3!D24,EM_v4_s4!D24,EM_v4_s5!D24)</f>
        <v>13</v>
      </c>
      <c r="E24" s="37">
        <f>AVERAGE(EM_v4_s1!D24,EM_v4_s2!D24,EM_v4_s3!D24,EM_v4_s4!D24,EM_v4_s5!D24)</f>
        <v>13</v>
      </c>
      <c r="F24" s="37">
        <f>AVERAGE(EM_v4_s1!E24,EM_v4_s2!E24,EM_v4_s3!E24,EM_v4_s4!E24,EM_v4_s5!E24)</f>
        <v>0</v>
      </c>
      <c r="G24" s="37">
        <f t="shared" si="1"/>
        <v>0</v>
      </c>
      <c r="H24" s="38">
        <f>MIN(EM_v4_s1!D24,EM_v4_s2!D24,EM_v4_s3!D24,EM_v4_s4!D24,EM_v4_s5!D24)</f>
        <v>13</v>
      </c>
      <c r="I24" s="37">
        <f t="shared" si="2"/>
        <v>0</v>
      </c>
    </row>
    <row r="25" hidden="1">
      <c r="A25" s="6" t="s">
        <v>124</v>
      </c>
      <c r="B25" s="6" t="s">
        <v>45</v>
      </c>
      <c r="C25" s="6" t="str">
        <f>VLOOKUP(A25, 'Indicadores instancias'!$A$1:$I$111, 3, FALSE)</f>
        <v>Pequeña</v>
      </c>
      <c r="D25" s="38">
        <f>MAX(EM_v4_s1!D25,EM_v4_s2!D25,EM_v4_s3!D25,EM_v4_s4!D25,EM_v4_s5!D25)</f>
        <v>13</v>
      </c>
      <c r="E25" s="37">
        <f>AVERAGE(EM_v4_s1!D25,EM_v4_s2!D25,EM_v4_s3!D25,EM_v4_s4!D25,EM_v4_s5!D25)</f>
        <v>13</v>
      </c>
      <c r="F25" s="37">
        <f>AVERAGE(EM_v4_s1!E25,EM_v4_s2!E25,EM_v4_s3!E25,EM_v4_s4!E25,EM_v4_s5!E25)</f>
        <v>0</v>
      </c>
      <c r="G25" s="37">
        <f t="shared" si="1"/>
        <v>0</v>
      </c>
      <c r="H25" s="38">
        <f>MIN(EM_v4_s1!D25,EM_v4_s2!D25,EM_v4_s3!D25,EM_v4_s4!D25,EM_v4_s5!D25)</f>
        <v>13</v>
      </c>
      <c r="I25" s="37">
        <f t="shared" si="2"/>
        <v>0</v>
      </c>
    </row>
    <row r="26" hidden="1">
      <c r="A26" s="6" t="s">
        <v>49</v>
      </c>
      <c r="B26" s="6" t="s">
        <v>45</v>
      </c>
      <c r="C26" s="6" t="str">
        <f>VLOOKUP(A26, 'Indicadores instancias'!$A$1:$I$111, 3, FALSE)</f>
        <v>Pequeña</v>
      </c>
      <c r="D26" s="38">
        <f>MAX(EM_v4_s1!D26,EM_v4_s2!D26,EM_v4_s3!D26,EM_v4_s4!D26,EM_v4_s5!D26)</f>
        <v>20</v>
      </c>
      <c r="E26" s="37">
        <f>AVERAGE(EM_v4_s1!D26,EM_v4_s2!D26,EM_v4_s3!D26,EM_v4_s4!D26,EM_v4_s5!D26)</f>
        <v>20</v>
      </c>
      <c r="F26" s="37">
        <f>AVERAGE(EM_v4_s1!E26,EM_v4_s2!E26,EM_v4_s3!E26,EM_v4_s4!E26,EM_v4_s5!E26)</f>
        <v>0</v>
      </c>
      <c r="G26" s="37">
        <f t="shared" si="1"/>
        <v>0</v>
      </c>
      <c r="H26" s="38">
        <f>MIN(EM_v4_s1!D26,EM_v4_s2!D26,EM_v4_s3!D26,EM_v4_s4!D26,EM_v4_s5!D26)</f>
        <v>20</v>
      </c>
      <c r="I26" s="37">
        <f t="shared" si="2"/>
        <v>0</v>
      </c>
    </row>
    <row r="27" hidden="1">
      <c r="A27" s="6" t="s">
        <v>130</v>
      </c>
      <c r="B27" s="6" t="s">
        <v>45</v>
      </c>
      <c r="C27" s="6" t="str">
        <f>VLOOKUP(A27, 'Indicadores instancias'!$A$1:$I$111, 3, FALSE)</f>
        <v>Pequeña</v>
      </c>
      <c r="D27" s="38">
        <f>MAX(EM_v4_s1!D27,EM_v4_s2!D27,EM_v4_s3!D27,EM_v4_s4!D27,EM_v4_s5!D27)</f>
        <v>20</v>
      </c>
      <c r="E27" s="37">
        <f>AVERAGE(EM_v4_s1!D27,EM_v4_s2!D27,EM_v4_s3!D27,EM_v4_s4!D27,EM_v4_s5!D27)</f>
        <v>20</v>
      </c>
      <c r="F27" s="37">
        <f>AVERAGE(EM_v4_s1!E27,EM_v4_s2!E27,EM_v4_s3!E27,EM_v4_s4!E27,EM_v4_s5!E27)</f>
        <v>0.1</v>
      </c>
      <c r="G27" s="37">
        <f t="shared" si="1"/>
        <v>0</v>
      </c>
      <c r="H27" s="38">
        <f>MIN(EM_v4_s1!D27,EM_v4_s2!D27,EM_v4_s3!D27,EM_v4_s4!D27,EM_v4_s5!D27)</f>
        <v>20</v>
      </c>
      <c r="I27" s="37">
        <f t="shared" si="2"/>
        <v>0</v>
      </c>
    </row>
    <row r="28" hidden="1">
      <c r="A28" s="6" t="s">
        <v>140</v>
      </c>
      <c r="B28" s="6" t="s">
        <v>45</v>
      </c>
      <c r="C28" s="6" t="str">
        <f>VLOOKUP(A28, 'Indicadores instancias'!$A$1:$I$111, 3, FALSE)</f>
        <v>Pequeña</v>
      </c>
      <c r="D28" s="38">
        <f>MAX(EM_v4_s1!D28,EM_v4_s2!D28,EM_v4_s3!D28,EM_v4_s4!D28,EM_v4_s5!D28)</f>
        <v>18</v>
      </c>
      <c r="E28" s="37">
        <f>AVERAGE(EM_v4_s1!D28,EM_v4_s2!D28,EM_v4_s3!D28,EM_v4_s4!D28,EM_v4_s5!D28)</f>
        <v>18</v>
      </c>
      <c r="F28" s="37">
        <f>AVERAGE(EM_v4_s1!E28,EM_v4_s2!E28,EM_v4_s3!E28,EM_v4_s4!E28,EM_v4_s5!E28)</f>
        <v>0.1</v>
      </c>
      <c r="G28" s="37">
        <f t="shared" si="1"/>
        <v>0</v>
      </c>
      <c r="H28" s="38">
        <f>MIN(EM_v4_s1!D28,EM_v4_s2!D28,EM_v4_s3!D28,EM_v4_s4!D28,EM_v4_s5!D28)</f>
        <v>18</v>
      </c>
      <c r="I28" s="37">
        <f t="shared" si="2"/>
        <v>0</v>
      </c>
    </row>
    <row r="29" hidden="1">
      <c r="A29" s="6" t="s">
        <v>60</v>
      </c>
      <c r="B29" s="6" t="s">
        <v>45</v>
      </c>
      <c r="C29" s="6" t="str">
        <f>VLOOKUP(A29, 'Indicadores instancias'!$A$1:$I$111, 3, FALSE)</f>
        <v>Pequeña</v>
      </c>
      <c r="D29" s="38">
        <f>MAX(EM_v4_s1!D29,EM_v4_s2!D29,EM_v4_s3!D29,EM_v4_s4!D29,EM_v4_s5!D29)</f>
        <v>19</v>
      </c>
      <c r="E29" s="37">
        <f>AVERAGE(EM_v4_s1!D29,EM_v4_s2!D29,EM_v4_s3!D29,EM_v4_s4!D29,EM_v4_s5!D29)</f>
        <v>19</v>
      </c>
      <c r="F29" s="37">
        <f>AVERAGE(EM_v4_s1!E29,EM_v4_s2!E29,EM_v4_s3!E29,EM_v4_s4!E29,EM_v4_s5!E29)</f>
        <v>0.1</v>
      </c>
      <c r="G29" s="37">
        <f t="shared" si="1"/>
        <v>0</v>
      </c>
      <c r="H29" s="38">
        <f>MIN(EM_v4_s1!D29,EM_v4_s2!D29,EM_v4_s3!D29,EM_v4_s4!D29,EM_v4_s5!D29)</f>
        <v>19</v>
      </c>
      <c r="I29" s="37">
        <f t="shared" si="2"/>
        <v>0</v>
      </c>
    </row>
    <row r="30" hidden="1">
      <c r="A30" s="6" t="s">
        <v>59</v>
      </c>
      <c r="B30" s="6" t="s">
        <v>45</v>
      </c>
      <c r="C30" s="6" t="str">
        <f>VLOOKUP(A30, 'Indicadores instancias'!$A$1:$I$111, 3, FALSE)</f>
        <v>Pequeña</v>
      </c>
      <c r="D30" s="38">
        <f>MAX(EM_v4_s1!D30,EM_v4_s2!D30,EM_v4_s3!D30,EM_v4_s4!D30,EM_v4_s5!D30)</f>
        <v>23</v>
      </c>
      <c r="E30" s="37">
        <f>AVERAGE(EM_v4_s1!D30,EM_v4_s2!D30,EM_v4_s3!D30,EM_v4_s4!D30,EM_v4_s5!D30)</f>
        <v>23</v>
      </c>
      <c r="F30" s="37">
        <f>AVERAGE(EM_v4_s1!E30,EM_v4_s2!E30,EM_v4_s3!E30,EM_v4_s4!E30,EM_v4_s5!E30)</f>
        <v>0.1</v>
      </c>
      <c r="G30" s="37">
        <f t="shared" si="1"/>
        <v>0</v>
      </c>
      <c r="H30" s="38">
        <f>MIN(EM_v4_s1!D30,EM_v4_s2!D30,EM_v4_s3!D30,EM_v4_s4!D30,EM_v4_s5!D30)</f>
        <v>23</v>
      </c>
      <c r="I30" s="37">
        <f t="shared" si="2"/>
        <v>0</v>
      </c>
    </row>
    <row r="31" hidden="1">
      <c r="A31" s="6" t="s">
        <v>50</v>
      </c>
      <c r="B31" s="6" t="s">
        <v>45</v>
      </c>
      <c r="C31" s="6" t="str">
        <f>VLOOKUP(A31, 'Indicadores instancias'!$A$1:$I$111, 3, FALSE)</f>
        <v>Pequeña</v>
      </c>
      <c r="D31" s="38">
        <f>MAX(EM_v4_s1!D31,EM_v4_s2!D31,EM_v4_s3!D31,EM_v4_s4!D31,EM_v4_s5!D31)</f>
        <v>22</v>
      </c>
      <c r="E31" s="37">
        <f>AVERAGE(EM_v4_s1!D31,EM_v4_s2!D31,EM_v4_s3!D31,EM_v4_s4!D31,EM_v4_s5!D31)</f>
        <v>22</v>
      </c>
      <c r="F31" s="37">
        <f>AVERAGE(EM_v4_s1!E31,EM_v4_s2!E31,EM_v4_s3!E31,EM_v4_s4!E31,EM_v4_s5!E31)</f>
        <v>0.1</v>
      </c>
      <c r="G31" s="37">
        <f t="shared" si="1"/>
        <v>0</v>
      </c>
      <c r="H31" s="38">
        <f>MIN(EM_v4_s1!D31,EM_v4_s2!D31,EM_v4_s3!D31,EM_v4_s4!D31,EM_v4_s5!D31)</f>
        <v>22</v>
      </c>
      <c r="I31" s="37">
        <f t="shared" si="2"/>
        <v>0</v>
      </c>
    </row>
    <row r="32" hidden="1">
      <c r="A32" s="6" t="s">
        <v>95</v>
      </c>
      <c r="B32" s="6" t="s">
        <v>45</v>
      </c>
      <c r="C32" s="6" t="str">
        <f>VLOOKUP(A32, 'Indicadores instancias'!$A$1:$I$111, 3, FALSE)</f>
        <v>Pequeña</v>
      </c>
      <c r="D32" s="38">
        <f>MAX(EM_v4_s1!D32,EM_v4_s2!D32,EM_v4_s3!D32,EM_v4_s4!D32,EM_v4_s5!D32)</f>
        <v>34</v>
      </c>
      <c r="E32" s="37">
        <f>AVERAGE(EM_v4_s1!D32,EM_v4_s2!D32,EM_v4_s3!D32,EM_v4_s4!D32,EM_v4_s5!D32)</f>
        <v>34</v>
      </c>
      <c r="F32" s="37">
        <f>AVERAGE(EM_v4_s1!E32,EM_v4_s2!E32,EM_v4_s3!E32,EM_v4_s4!E32,EM_v4_s5!E32)</f>
        <v>0.1</v>
      </c>
      <c r="G32" s="37">
        <f t="shared" si="1"/>
        <v>0</v>
      </c>
      <c r="H32" s="38">
        <f>MIN(EM_v4_s1!D32,EM_v4_s2!D32,EM_v4_s3!D32,EM_v4_s4!D32,EM_v4_s5!D32)</f>
        <v>34</v>
      </c>
      <c r="I32" s="37">
        <f t="shared" si="2"/>
        <v>0</v>
      </c>
    </row>
    <row r="33" hidden="1">
      <c r="A33" s="6" t="s">
        <v>73</v>
      </c>
      <c r="B33" s="6" t="s">
        <v>45</v>
      </c>
      <c r="C33" s="6" t="str">
        <f>VLOOKUP(A33, 'Indicadores instancias'!$A$1:$I$111, 3, FALSE)</f>
        <v>Pequeña</v>
      </c>
      <c r="D33" s="38">
        <f>MAX(EM_v4_s1!D33,EM_v4_s2!D33,EM_v4_s3!D33,EM_v4_s4!D33,EM_v4_s5!D33)</f>
        <v>31</v>
      </c>
      <c r="E33" s="37">
        <f>AVERAGE(EM_v4_s1!D33,EM_v4_s2!D33,EM_v4_s3!D33,EM_v4_s4!D33,EM_v4_s5!D33)</f>
        <v>31</v>
      </c>
      <c r="F33" s="37">
        <f>AVERAGE(EM_v4_s1!E33,EM_v4_s2!E33,EM_v4_s3!E33,EM_v4_s4!E33,EM_v4_s5!E33)</f>
        <v>0.1</v>
      </c>
      <c r="G33" s="37">
        <f t="shared" si="1"/>
        <v>0</v>
      </c>
      <c r="H33" s="38">
        <f>MIN(EM_v4_s1!D33,EM_v4_s2!D33,EM_v4_s3!D33,EM_v4_s4!D33,EM_v4_s5!D33)</f>
        <v>31</v>
      </c>
      <c r="I33" s="37">
        <f t="shared" si="2"/>
        <v>0</v>
      </c>
    </row>
    <row r="34" hidden="1">
      <c r="A34" s="6" t="s">
        <v>46</v>
      </c>
      <c r="B34" s="6" t="s">
        <v>45</v>
      </c>
      <c r="C34" s="6" t="str">
        <f>VLOOKUP(A34, 'Indicadores instancias'!$A$1:$I$111, 3, FALSE)</f>
        <v>Pequeña</v>
      </c>
      <c r="D34" s="38">
        <f>MAX(EM_v4_s1!D34,EM_v4_s2!D34,EM_v4_s3!D34,EM_v4_s4!D34,EM_v4_s5!D34)</f>
        <v>25</v>
      </c>
      <c r="E34" s="37">
        <f>AVERAGE(EM_v4_s1!D34,EM_v4_s2!D34,EM_v4_s3!D34,EM_v4_s4!D34,EM_v4_s5!D34)</f>
        <v>25</v>
      </c>
      <c r="F34" s="37">
        <f>AVERAGE(EM_v4_s1!E34,EM_v4_s2!E34,EM_v4_s3!E34,EM_v4_s4!E34,EM_v4_s5!E34)</f>
        <v>0.1</v>
      </c>
      <c r="G34" s="37">
        <f t="shared" si="1"/>
        <v>0</v>
      </c>
      <c r="H34" s="38">
        <f>MIN(EM_v4_s1!D34,EM_v4_s2!D34,EM_v4_s3!D34,EM_v4_s4!D34,EM_v4_s5!D34)</f>
        <v>25</v>
      </c>
      <c r="I34" s="37">
        <f t="shared" si="2"/>
        <v>0</v>
      </c>
    </row>
    <row r="35" hidden="1">
      <c r="A35" s="6" t="s">
        <v>103</v>
      </c>
      <c r="B35" s="6" t="s">
        <v>45</v>
      </c>
      <c r="C35" s="6" t="str">
        <f>VLOOKUP(A35, 'Indicadores instancias'!$A$1:$I$111, 3, FALSE)</f>
        <v>Pequeña</v>
      </c>
      <c r="D35" s="38">
        <f>MAX(EM_v4_s1!D35,EM_v4_s2!D35,EM_v4_s3!D35,EM_v4_s4!D35,EM_v4_s5!D35)</f>
        <v>26</v>
      </c>
      <c r="E35" s="37">
        <f>AVERAGE(EM_v4_s1!D35,EM_v4_s2!D35,EM_v4_s3!D35,EM_v4_s4!D35,EM_v4_s5!D35)</f>
        <v>26</v>
      </c>
      <c r="F35" s="37">
        <f>AVERAGE(EM_v4_s1!E35,EM_v4_s2!E35,EM_v4_s3!E35,EM_v4_s4!E35,EM_v4_s5!E35)</f>
        <v>0.1</v>
      </c>
      <c r="G35" s="37">
        <f t="shared" si="1"/>
        <v>0</v>
      </c>
      <c r="H35" s="38">
        <f>MIN(EM_v4_s1!D35,EM_v4_s2!D35,EM_v4_s3!D35,EM_v4_s4!D35,EM_v4_s5!D35)</f>
        <v>26</v>
      </c>
      <c r="I35" s="37">
        <f t="shared" si="2"/>
        <v>0</v>
      </c>
    </row>
    <row r="36" hidden="1">
      <c r="A36" s="6" t="s">
        <v>131</v>
      </c>
      <c r="B36" s="6" t="s">
        <v>45</v>
      </c>
      <c r="C36" s="6" t="str">
        <f>VLOOKUP(A36, 'Indicadores instancias'!$A$1:$I$111, 3, FALSE)</f>
        <v>Pequeña</v>
      </c>
      <c r="D36" s="38">
        <f>MAX(EM_v4_s1!D36,EM_v4_s2!D36,EM_v4_s3!D36,EM_v4_s4!D36,EM_v4_s5!D36)</f>
        <v>35</v>
      </c>
      <c r="E36" s="37">
        <f>AVERAGE(EM_v4_s1!D36,EM_v4_s2!D36,EM_v4_s3!D36,EM_v4_s4!D36,EM_v4_s5!D36)</f>
        <v>35</v>
      </c>
      <c r="F36" s="37">
        <f>AVERAGE(EM_v4_s1!E36,EM_v4_s2!E36,EM_v4_s3!E36,EM_v4_s4!E36,EM_v4_s5!E36)</f>
        <v>0.1</v>
      </c>
      <c r="G36" s="37">
        <f t="shared" si="1"/>
        <v>0</v>
      </c>
      <c r="H36" s="38">
        <f>MIN(EM_v4_s1!D36,EM_v4_s2!D36,EM_v4_s3!D36,EM_v4_s4!D36,EM_v4_s5!D36)</f>
        <v>35</v>
      </c>
      <c r="I36" s="37">
        <f t="shared" si="2"/>
        <v>0</v>
      </c>
    </row>
    <row r="37" hidden="1">
      <c r="A37" s="6" t="s">
        <v>115</v>
      </c>
      <c r="B37" s="6" t="s">
        <v>45</v>
      </c>
      <c r="C37" s="6" t="str">
        <f>VLOOKUP(A37, 'Indicadores instancias'!$A$1:$I$111, 3, FALSE)</f>
        <v>Pequeña</v>
      </c>
      <c r="D37" s="38">
        <f>MAX(EM_v4_s1!D37,EM_v4_s2!D37,EM_v4_s3!D37,EM_v4_s4!D37,EM_v4_s5!D37)</f>
        <v>34</v>
      </c>
      <c r="E37" s="37">
        <f>AVERAGE(EM_v4_s1!D37,EM_v4_s2!D37,EM_v4_s3!D37,EM_v4_s4!D37,EM_v4_s5!D37)</f>
        <v>34</v>
      </c>
      <c r="F37" s="37">
        <f>AVERAGE(EM_v4_s1!E37,EM_v4_s2!E37,EM_v4_s3!E37,EM_v4_s4!E37,EM_v4_s5!E37)</f>
        <v>0.2</v>
      </c>
      <c r="G37" s="37">
        <f t="shared" si="1"/>
        <v>0</v>
      </c>
      <c r="H37" s="38">
        <f>MIN(EM_v4_s1!D37,EM_v4_s2!D37,EM_v4_s3!D37,EM_v4_s4!D37,EM_v4_s5!D37)</f>
        <v>34</v>
      </c>
      <c r="I37" s="37">
        <f t="shared" si="2"/>
        <v>0</v>
      </c>
    </row>
    <row r="38" hidden="1">
      <c r="A38" s="6" t="s">
        <v>71</v>
      </c>
      <c r="B38" s="6" t="s">
        <v>45</v>
      </c>
      <c r="C38" s="6" t="str">
        <f>VLOOKUP(A38, 'Indicadores instancias'!$A$1:$I$111, 3, FALSE)</f>
        <v>Pequeña</v>
      </c>
      <c r="D38" s="38">
        <f>MAX(EM_v4_s1!D38,EM_v4_s2!D38,EM_v4_s3!D38,EM_v4_s4!D38,EM_v4_s5!D38)</f>
        <v>44</v>
      </c>
      <c r="E38" s="37">
        <f>AVERAGE(EM_v4_s1!D38,EM_v4_s2!D38,EM_v4_s3!D38,EM_v4_s4!D38,EM_v4_s5!D38)</f>
        <v>44</v>
      </c>
      <c r="F38" s="37">
        <f>AVERAGE(EM_v4_s1!E38,EM_v4_s2!E38,EM_v4_s3!E38,EM_v4_s4!E38,EM_v4_s5!E38)</f>
        <v>0.2</v>
      </c>
      <c r="G38" s="37">
        <f t="shared" si="1"/>
        <v>0</v>
      </c>
      <c r="H38" s="38">
        <f>MIN(EM_v4_s1!D38,EM_v4_s2!D38,EM_v4_s3!D38,EM_v4_s4!D38,EM_v4_s5!D38)</f>
        <v>44</v>
      </c>
      <c r="I38" s="37">
        <f t="shared" si="2"/>
        <v>0</v>
      </c>
    </row>
    <row r="39" hidden="1">
      <c r="A39" s="6" t="s">
        <v>87</v>
      </c>
      <c r="B39" s="6" t="s">
        <v>45</v>
      </c>
      <c r="C39" s="6" t="str">
        <f>VLOOKUP(A39, 'Indicadores instancias'!$A$1:$I$111, 3, FALSE)</f>
        <v>Pequeña</v>
      </c>
      <c r="D39" s="38">
        <f>MAX(EM_v4_s1!D39,EM_v4_s2!D39,EM_v4_s3!D39,EM_v4_s4!D39,EM_v4_s5!D39)</f>
        <v>41</v>
      </c>
      <c r="E39" s="37">
        <f>AVERAGE(EM_v4_s1!D39,EM_v4_s2!D39,EM_v4_s3!D39,EM_v4_s4!D39,EM_v4_s5!D39)</f>
        <v>41</v>
      </c>
      <c r="F39" s="37">
        <f>AVERAGE(EM_v4_s1!E39,EM_v4_s2!E39,EM_v4_s3!E39,EM_v4_s4!E39,EM_v4_s5!E39)</f>
        <v>0.2</v>
      </c>
      <c r="G39" s="37">
        <f t="shared" si="1"/>
        <v>0</v>
      </c>
      <c r="H39" s="38">
        <f>MIN(EM_v4_s1!D39,EM_v4_s2!D39,EM_v4_s3!D39,EM_v4_s4!D39,EM_v4_s5!D39)</f>
        <v>41</v>
      </c>
      <c r="I39" s="37">
        <f t="shared" si="2"/>
        <v>0</v>
      </c>
    </row>
    <row r="40" hidden="1">
      <c r="A40" s="6" t="s">
        <v>44</v>
      </c>
      <c r="B40" s="6" t="s">
        <v>45</v>
      </c>
      <c r="C40" s="6" t="str">
        <f>VLOOKUP(A40, 'Indicadores instancias'!$A$1:$I$111, 3, FALSE)</f>
        <v>Pequeña</v>
      </c>
      <c r="D40" s="38">
        <f>MAX(EM_v4_s1!D40,EM_v4_s2!D40,EM_v4_s3!D40,EM_v4_s4!D40,EM_v4_s5!D40)</f>
        <v>43</v>
      </c>
      <c r="E40" s="37">
        <f>AVERAGE(EM_v4_s1!D40,EM_v4_s2!D40,EM_v4_s3!D40,EM_v4_s4!D40,EM_v4_s5!D40)</f>
        <v>43</v>
      </c>
      <c r="F40" s="37">
        <f>AVERAGE(EM_v4_s1!E40,EM_v4_s2!E40,EM_v4_s3!E40,EM_v4_s4!E40,EM_v4_s5!E40)</f>
        <v>0.2</v>
      </c>
      <c r="G40" s="37">
        <f t="shared" si="1"/>
        <v>0</v>
      </c>
      <c r="H40" s="38">
        <f>MIN(EM_v4_s1!D40,EM_v4_s2!D40,EM_v4_s3!D40,EM_v4_s4!D40,EM_v4_s5!D40)</f>
        <v>43</v>
      </c>
      <c r="I40" s="37">
        <f t="shared" si="2"/>
        <v>0</v>
      </c>
    </row>
    <row r="41" hidden="1">
      <c r="A41" s="6" t="s">
        <v>134</v>
      </c>
      <c r="B41" s="6" t="s">
        <v>45</v>
      </c>
      <c r="C41" s="6" t="str">
        <f>VLOOKUP(A41, 'Indicadores instancias'!$A$1:$I$111, 3, FALSE)</f>
        <v>Pequeña</v>
      </c>
      <c r="D41" s="38">
        <f>MAX(EM_v4_s1!D41,EM_v4_s2!D41,EM_v4_s3!D41,EM_v4_s4!D41,EM_v4_s5!D41)</f>
        <v>45</v>
      </c>
      <c r="E41" s="37">
        <f>AVERAGE(EM_v4_s1!D41,EM_v4_s2!D41,EM_v4_s3!D41,EM_v4_s4!D41,EM_v4_s5!D41)</f>
        <v>45</v>
      </c>
      <c r="F41" s="37">
        <f>AVERAGE(EM_v4_s1!E41,EM_v4_s2!E41,EM_v4_s3!E41,EM_v4_s4!E41,EM_v4_s5!E41)</f>
        <v>0.2</v>
      </c>
      <c r="G41" s="37">
        <f t="shared" si="1"/>
        <v>0</v>
      </c>
      <c r="H41" s="38">
        <f>MIN(EM_v4_s1!D41,EM_v4_s2!D41,EM_v4_s3!D41,EM_v4_s4!D41,EM_v4_s5!D41)</f>
        <v>45</v>
      </c>
      <c r="I41" s="37">
        <f t="shared" si="2"/>
        <v>0</v>
      </c>
    </row>
    <row r="42" hidden="1">
      <c r="A42" s="6" t="s">
        <v>153</v>
      </c>
      <c r="B42" s="6" t="s">
        <v>45</v>
      </c>
      <c r="C42" s="6" t="str">
        <f>VLOOKUP(A42, 'Indicadores instancias'!$A$1:$I$111, 3, FALSE)</f>
        <v>Pequeña</v>
      </c>
      <c r="D42" s="38">
        <f>MAX(EM_v4_s1!D42,EM_v4_s2!D42,EM_v4_s3!D42,EM_v4_s4!D42,EM_v4_s5!D42)</f>
        <v>54</v>
      </c>
      <c r="E42" s="37">
        <f>AVERAGE(EM_v4_s1!D42,EM_v4_s2!D42,EM_v4_s3!D42,EM_v4_s4!D42,EM_v4_s5!D42)</f>
        <v>54</v>
      </c>
      <c r="F42" s="37">
        <f>AVERAGE(EM_v4_s1!E42,EM_v4_s2!E42,EM_v4_s3!E42,EM_v4_s4!E42,EM_v4_s5!E42)</f>
        <v>0.2</v>
      </c>
      <c r="G42" s="37">
        <f t="shared" si="1"/>
        <v>0</v>
      </c>
      <c r="H42" s="38">
        <f>MIN(EM_v4_s1!D42,EM_v4_s2!D42,EM_v4_s3!D42,EM_v4_s4!D42,EM_v4_s5!D42)</f>
        <v>54</v>
      </c>
      <c r="I42" s="37">
        <f t="shared" si="2"/>
        <v>0</v>
      </c>
    </row>
    <row r="43" hidden="1">
      <c r="A43" s="6" t="s">
        <v>51</v>
      </c>
      <c r="B43" s="6" t="s">
        <v>45</v>
      </c>
      <c r="C43" s="6" t="str">
        <f>VLOOKUP(A43, 'Indicadores instancias'!$A$1:$I$111, 3, FALSE)</f>
        <v>Pequeña</v>
      </c>
      <c r="D43" s="38">
        <f>MAX(EM_v4_s1!D43,EM_v4_s2!D43,EM_v4_s3!D43,EM_v4_s4!D43,EM_v4_s5!D43)</f>
        <v>59</v>
      </c>
      <c r="E43" s="37">
        <f>AVERAGE(EM_v4_s1!D43,EM_v4_s2!D43,EM_v4_s3!D43,EM_v4_s4!D43,EM_v4_s5!D43)</f>
        <v>59</v>
      </c>
      <c r="F43" s="37">
        <f>AVERAGE(EM_v4_s1!E43,EM_v4_s2!E43,EM_v4_s3!E43,EM_v4_s4!E43,EM_v4_s5!E43)</f>
        <v>0.2</v>
      </c>
      <c r="G43" s="37">
        <f t="shared" si="1"/>
        <v>0</v>
      </c>
      <c r="H43" s="38">
        <f>MIN(EM_v4_s1!D43,EM_v4_s2!D43,EM_v4_s3!D43,EM_v4_s4!D43,EM_v4_s5!D43)</f>
        <v>59</v>
      </c>
      <c r="I43" s="37">
        <f t="shared" si="2"/>
        <v>0</v>
      </c>
    </row>
    <row r="44" hidden="1">
      <c r="A44" s="6" t="s">
        <v>96</v>
      </c>
      <c r="B44" s="6" t="s">
        <v>45</v>
      </c>
      <c r="C44" s="6" t="str">
        <f>VLOOKUP(A44, 'Indicadores instancias'!$A$1:$I$111, 3, FALSE)</f>
        <v>Pequeña</v>
      </c>
      <c r="D44" s="38">
        <f>MAX(EM_v4_s1!D44,EM_v4_s2!D44,EM_v4_s3!D44,EM_v4_s4!D44,EM_v4_s5!D44)</f>
        <v>64</v>
      </c>
      <c r="E44" s="37">
        <f>AVERAGE(EM_v4_s1!D44,EM_v4_s2!D44,EM_v4_s3!D44,EM_v4_s4!D44,EM_v4_s5!D44)</f>
        <v>64</v>
      </c>
      <c r="F44" s="37">
        <f>AVERAGE(EM_v4_s1!E44,EM_v4_s2!E44,EM_v4_s3!E44,EM_v4_s4!E44,EM_v4_s5!E44)</f>
        <v>0.24</v>
      </c>
      <c r="G44" s="37">
        <f t="shared" si="1"/>
        <v>0</v>
      </c>
      <c r="H44" s="38">
        <f>MIN(EM_v4_s1!D44,EM_v4_s2!D44,EM_v4_s3!D44,EM_v4_s4!D44,EM_v4_s5!D44)</f>
        <v>64</v>
      </c>
      <c r="I44" s="37">
        <f t="shared" si="2"/>
        <v>0</v>
      </c>
    </row>
    <row r="45" hidden="1">
      <c r="A45" s="6" t="s">
        <v>106</v>
      </c>
      <c r="B45" s="6" t="s">
        <v>45</v>
      </c>
      <c r="C45" s="6" t="str">
        <f>VLOOKUP(A45, 'Indicadores instancias'!$A$1:$I$111, 3, FALSE)</f>
        <v>Pequeña</v>
      </c>
      <c r="D45" s="38">
        <f>MAX(EM_v4_s1!D45,EM_v4_s2!D45,EM_v4_s3!D45,EM_v4_s4!D45,EM_v4_s5!D45)</f>
        <v>62</v>
      </c>
      <c r="E45" s="37">
        <f>AVERAGE(EM_v4_s1!D45,EM_v4_s2!D45,EM_v4_s3!D45,EM_v4_s4!D45,EM_v4_s5!D45)</f>
        <v>62</v>
      </c>
      <c r="F45" s="37">
        <f>AVERAGE(EM_v4_s1!E45,EM_v4_s2!E45,EM_v4_s3!E45,EM_v4_s4!E45,EM_v4_s5!E45)</f>
        <v>0.2</v>
      </c>
      <c r="G45" s="37">
        <f t="shared" si="1"/>
        <v>0</v>
      </c>
      <c r="H45" s="38">
        <f>MIN(EM_v4_s1!D45,EM_v4_s2!D45,EM_v4_s3!D45,EM_v4_s4!D45,EM_v4_s5!D45)</f>
        <v>62</v>
      </c>
      <c r="I45" s="37">
        <f t="shared" si="2"/>
        <v>0</v>
      </c>
    </row>
    <row r="46" hidden="1">
      <c r="A46" s="6" t="s">
        <v>91</v>
      </c>
      <c r="B46" s="6" t="s">
        <v>45</v>
      </c>
      <c r="C46" s="6" t="str">
        <f>VLOOKUP(A46, 'Indicadores instancias'!$A$1:$I$111, 3, FALSE)</f>
        <v>Pequeña</v>
      </c>
      <c r="D46" s="38">
        <f>MAX(EM_v4_s1!D46,EM_v4_s2!D46,EM_v4_s3!D46,EM_v4_s4!D46,EM_v4_s5!D46)</f>
        <v>58</v>
      </c>
      <c r="E46" s="37">
        <f>AVERAGE(EM_v4_s1!D46,EM_v4_s2!D46,EM_v4_s3!D46,EM_v4_s4!D46,EM_v4_s5!D46)</f>
        <v>58</v>
      </c>
      <c r="F46" s="37">
        <f>AVERAGE(EM_v4_s1!E46,EM_v4_s2!E46,EM_v4_s3!E46,EM_v4_s4!E46,EM_v4_s5!E46)</f>
        <v>0.2</v>
      </c>
      <c r="G46" s="37">
        <f t="shared" si="1"/>
        <v>0</v>
      </c>
      <c r="H46" s="38">
        <f>MIN(EM_v4_s1!D46,EM_v4_s2!D46,EM_v4_s3!D46,EM_v4_s4!D46,EM_v4_s5!D46)</f>
        <v>58</v>
      </c>
      <c r="I46" s="37">
        <f t="shared" si="2"/>
        <v>0</v>
      </c>
    </row>
    <row r="47" hidden="1">
      <c r="A47" s="6" t="s">
        <v>66</v>
      </c>
      <c r="B47" s="6" t="s">
        <v>45</v>
      </c>
      <c r="C47" s="6" t="str">
        <f>VLOOKUP(A47, 'Indicadores instancias'!$A$1:$I$111, 3, FALSE)</f>
        <v>Pequeña</v>
      </c>
      <c r="D47" s="38">
        <f>MAX(EM_v4_s1!D47,EM_v4_s2!D47,EM_v4_s3!D47,EM_v4_s4!D47,EM_v4_s5!D47)</f>
        <v>88</v>
      </c>
      <c r="E47" s="37">
        <f>AVERAGE(EM_v4_s1!D47,EM_v4_s2!D47,EM_v4_s3!D47,EM_v4_s4!D47,EM_v4_s5!D47)</f>
        <v>88</v>
      </c>
      <c r="F47" s="37">
        <f>AVERAGE(EM_v4_s1!E47,EM_v4_s2!E47,EM_v4_s3!E47,EM_v4_s4!E47,EM_v4_s5!E47)</f>
        <v>0.4</v>
      </c>
      <c r="G47" s="37">
        <f t="shared" si="1"/>
        <v>0</v>
      </c>
      <c r="H47" s="38">
        <f>MIN(EM_v4_s1!D47,EM_v4_s2!D47,EM_v4_s3!D47,EM_v4_s4!D47,EM_v4_s5!D47)</f>
        <v>88</v>
      </c>
      <c r="I47" s="37">
        <f t="shared" si="2"/>
        <v>0</v>
      </c>
    </row>
    <row r="48" hidden="1">
      <c r="A48" s="6" t="s">
        <v>75</v>
      </c>
      <c r="B48" s="6" t="s">
        <v>45</v>
      </c>
      <c r="C48" s="6" t="str">
        <f>VLOOKUP(A48, 'Indicadores instancias'!$A$1:$I$111, 3, FALSE)</f>
        <v>Pequeña</v>
      </c>
      <c r="D48" s="38">
        <f>MAX(EM_v4_s1!D48,EM_v4_s2!D48,EM_v4_s3!D48,EM_v4_s4!D48,EM_v4_s5!D48)</f>
        <v>82</v>
      </c>
      <c r="E48" s="37">
        <f>AVERAGE(EM_v4_s1!D48,EM_v4_s2!D48,EM_v4_s3!D48,EM_v4_s4!D48,EM_v4_s5!D48)</f>
        <v>82</v>
      </c>
      <c r="F48" s="37">
        <f>AVERAGE(EM_v4_s1!E48,EM_v4_s2!E48,EM_v4_s3!E48,EM_v4_s4!E48,EM_v4_s5!E48)</f>
        <v>0.4</v>
      </c>
      <c r="G48" s="37">
        <f t="shared" si="1"/>
        <v>0</v>
      </c>
      <c r="H48" s="38">
        <f>MIN(EM_v4_s1!D48,EM_v4_s2!D48,EM_v4_s3!D48,EM_v4_s4!D48,EM_v4_s5!D48)</f>
        <v>82</v>
      </c>
      <c r="I48" s="37">
        <f t="shared" si="2"/>
        <v>0</v>
      </c>
    </row>
    <row r="49" hidden="1">
      <c r="A49" s="6" t="s">
        <v>58</v>
      </c>
      <c r="B49" s="6" t="s">
        <v>45</v>
      </c>
      <c r="C49" s="6" t="str">
        <f>VLOOKUP(A49, 'Indicadores instancias'!$A$1:$I$111, 3, FALSE)</f>
        <v>Pequeña</v>
      </c>
      <c r="D49" s="38">
        <f>MAX(EM_v4_s1!D49,EM_v4_s2!D49,EM_v4_s3!D49,EM_v4_s4!D49,EM_v4_s5!D49)</f>
        <v>91</v>
      </c>
      <c r="E49" s="37">
        <f>AVERAGE(EM_v4_s1!D49,EM_v4_s2!D49,EM_v4_s3!D49,EM_v4_s4!D49,EM_v4_s5!D49)</f>
        <v>91</v>
      </c>
      <c r="F49" s="37">
        <f>AVERAGE(EM_v4_s1!E49,EM_v4_s2!E49,EM_v4_s3!E49,EM_v4_s4!E49,EM_v4_s5!E49)</f>
        <v>0.4</v>
      </c>
      <c r="G49" s="37">
        <f t="shared" si="1"/>
        <v>0</v>
      </c>
      <c r="H49" s="38">
        <f>MIN(EM_v4_s1!D49,EM_v4_s2!D49,EM_v4_s3!D49,EM_v4_s4!D49,EM_v4_s5!D49)</f>
        <v>91</v>
      </c>
      <c r="I49" s="37">
        <f t="shared" si="2"/>
        <v>0</v>
      </c>
    </row>
    <row r="50" hidden="1">
      <c r="A50" s="6" t="s">
        <v>108</v>
      </c>
      <c r="B50" s="6" t="s">
        <v>45</v>
      </c>
      <c r="C50" s="6" t="str">
        <f>VLOOKUP(A50, 'Indicadores instancias'!$A$1:$I$111, 3, FALSE)</f>
        <v>Pequeña</v>
      </c>
      <c r="D50" s="38">
        <f>MAX(EM_v4_s1!D50,EM_v4_s2!D50,EM_v4_s3!D50,EM_v4_s4!D50,EM_v4_s5!D50)</f>
        <v>93</v>
      </c>
      <c r="E50" s="37">
        <f>AVERAGE(EM_v4_s1!D50,EM_v4_s2!D50,EM_v4_s3!D50,EM_v4_s4!D50,EM_v4_s5!D50)</f>
        <v>93</v>
      </c>
      <c r="F50" s="37">
        <f>AVERAGE(EM_v4_s1!E50,EM_v4_s2!E50,EM_v4_s3!E50,EM_v4_s4!E50,EM_v4_s5!E50)</f>
        <v>0.4</v>
      </c>
      <c r="G50" s="37">
        <f t="shared" si="1"/>
        <v>0</v>
      </c>
      <c r="H50" s="38">
        <f>MIN(EM_v4_s1!D50,EM_v4_s2!D50,EM_v4_s3!D50,EM_v4_s4!D50,EM_v4_s5!D50)</f>
        <v>93</v>
      </c>
      <c r="I50" s="37">
        <f t="shared" si="2"/>
        <v>0</v>
      </c>
    </row>
    <row r="51" hidden="1">
      <c r="A51" s="6" t="s">
        <v>122</v>
      </c>
      <c r="B51" s="6" t="s">
        <v>45</v>
      </c>
      <c r="C51" s="6" t="str">
        <f>VLOOKUP(A51, 'Indicadores instancias'!$A$1:$I$111, 3, FALSE)</f>
        <v>Pequeña</v>
      </c>
      <c r="D51" s="38">
        <f>MAX(EM_v4_s1!D51,EM_v4_s2!D51,EM_v4_s3!D51,EM_v4_s4!D51,EM_v4_s5!D51)</f>
        <v>92</v>
      </c>
      <c r="E51" s="37">
        <f>AVERAGE(EM_v4_s1!D51,EM_v4_s2!D51,EM_v4_s3!D51,EM_v4_s4!D51,EM_v4_s5!D51)</f>
        <v>92</v>
      </c>
      <c r="F51" s="37">
        <f>AVERAGE(EM_v4_s1!E51,EM_v4_s2!E51,EM_v4_s3!E51,EM_v4_s4!E51,EM_v4_s5!E51)</f>
        <v>0.4</v>
      </c>
      <c r="G51" s="37">
        <f t="shared" si="1"/>
        <v>0</v>
      </c>
      <c r="H51" s="38">
        <f>MIN(EM_v4_s1!D51,EM_v4_s2!D51,EM_v4_s3!D51,EM_v4_s4!D51,EM_v4_s5!D51)</f>
        <v>92</v>
      </c>
      <c r="I51" s="37">
        <f t="shared" si="2"/>
        <v>0</v>
      </c>
    </row>
    <row r="52" hidden="1">
      <c r="A52" s="6" t="s">
        <v>88</v>
      </c>
      <c r="B52" s="6" t="s">
        <v>45</v>
      </c>
      <c r="C52" s="6" t="str">
        <f>VLOOKUP(A52, 'Indicadores instancias'!$A$1:$I$111, 3, FALSE)</f>
        <v>Mediana</v>
      </c>
      <c r="D52" s="38">
        <f>MAX(EM_v4_s1!D52,EM_v4_s2!D52,EM_v4_s3!D52,EM_v4_s4!D52,EM_v4_s5!D52)</f>
        <v>115</v>
      </c>
      <c r="E52" s="37">
        <f>AVERAGE(EM_v4_s1!D52,EM_v4_s2!D52,EM_v4_s3!D52,EM_v4_s4!D52,EM_v4_s5!D52)</f>
        <v>115</v>
      </c>
      <c r="F52" s="37">
        <f>AVERAGE(EM_v4_s1!E52,EM_v4_s2!E52,EM_v4_s3!E52,EM_v4_s4!E52,EM_v4_s5!E52)</f>
        <v>0.62</v>
      </c>
      <c r="G52" s="37">
        <f t="shared" si="1"/>
        <v>0</v>
      </c>
      <c r="H52" s="38">
        <f>MIN(EM_v4_s1!D52,EM_v4_s2!D52,EM_v4_s3!D52,EM_v4_s4!D52,EM_v4_s5!D52)</f>
        <v>115</v>
      </c>
      <c r="I52" s="37">
        <f t="shared" si="2"/>
        <v>0</v>
      </c>
    </row>
    <row r="53" hidden="1">
      <c r="A53" s="6" t="s">
        <v>135</v>
      </c>
      <c r="B53" s="6" t="s">
        <v>45</v>
      </c>
      <c r="C53" s="6" t="str">
        <f>VLOOKUP(A53, 'Indicadores instancias'!$A$1:$I$111, 3, FALSE)</f>
        <v>Mediana</v>
      </c>
      <c r="D53" s="38">
        <f>MAX(EM_v4_s1!D53,EM_v4_s2!D53,EM_v4_s3!D53,EM_v4_s4!D53,EM_v4_s5!D53)</f>
        <v>124</v>
      </c>
      <c r="E53" s="37">
        <f>AVERAGE(EM_v4_s1!D53,EM_v4_s2!D53,EM_v4_s3!D53,EM_v4_s4!D53,EM_v4_s5!D53)</f>
        <v>124</v>
      </c>
      <c r="F53" s="37">
        <f>AVERAGE(EM_v4_s1!E53,EM_v4_s2!E53,EM_v4_s3!E53,EM_v4_s4!E53,EM_v4_s5!E53)</f>
        <v>0.54</v>
      </c>
      <c r="G53" s="37">
        <f t="shared" si="1"/>
        <v>0</v>
      </c>
      <c r="H53" s="38">
        <f>MIN(EM_v4_s1!D53,EM_v4_s2!D53,EM_v4_s3!D53,EM_v4_s4!D53,EM_v4_s5!D53)</f>
        <v>124</v>
      </c>
      <c r="I53" s="37">
        <f t="shared" si="2"/>
        <v>0</v>
      </c>
    </row>
    <row r="54" hidden="1">
      <c r="A54" s="6" t="s">
        <v>54</v>
      </c>
      <c r="B54" s="6" t="s">
        <v>45</v>
      </c>
      <c r="C54" s="6" t="str">
        <f>VLOOKUP(A54, 'Indicadores instancias'!$A$1:$I$111, 3, FALSE)</f>
        <v>Mediana</v>
      </c>
      <c r="D54" s="38">
        <f>MAX(EM_v4_s1!D54,EM_v4_s2!D54,EM_v4_s3!D54,EM_v4_s4!D54,EM_v4_s5!D54)</f>
        <v>122</v>
      </c>
      <c r="E54" s="37">
        <f>AVERAGE(EM_v4_s1!D54,EM_v4_s2!D54,EM_v4_s3!D54,EM_v4_s4!D54,EM_v4_s5!D54)</f>
        <v>122</v>
      </c>
      <c r="F54" s="37">
        <f>AVERAGE(EM_v4_s1!E54,EM_v4_s2!E54,EM_v4_s3!E54,EM_v4_s4!E54,EM_v4_s5!E54)</f>
        <v>0.6</v>
      </c>
      <c r="G54" s="37">
        <f t="shared" si="1"/>
        <v>0</v>
      </c>
      <c r="H54" s="38">
        <f>MIN(EM_v4_s1!D54,EM_v4_s2!D54,EM_v4_s3!D54,EM_v4_s4!D54,EM_v4_s5!D54)</f>
        <v>122</v>
      </c>
      <c r="I54" s="37">
        <f t="shared" si="2"/>
        <v>0</v>
      </c>
    </row>
    <row r="55" hidden="1">
      <c r="A55" s="6" t="s">
        <v>148</v>
      </c>
      <c r="B55" s="6" t="s">
        <v>45</v>
      </c>
      <c r="C55" s="6" t="str">
        <f>VLOOKUP(A55, 'Indicadores instancias'!$A$1:$I$111, 3, FALSE)</f>
        <v>Mediana</v>
      </c>
      <c r="D55" s="38">
        <f>MAX(EM_v4_s1!D55,EM_v4_s2!D55,EM_v4_s3!D55,EM_v4_s4!D55,EM_v4_s5!D55)</f>
        <v>118</v>
      </c>
      <c r="E55" s="37">
        <f>AVERAGE(EM_v4_s1!D55,EM_v4_s2!D55,EM_v4_s3!D55,EM_v4_s4!D55,EM_v4_s5!D55)</f>
        <v>118</v>
      </c>
      <c r="F55" s="37">
        <f>AVERAGE(EM_v4_s1!E55,EM_v4_s2!E55,EM_v4_s3!E55,EM_v4_s4!E55,EM_v4_s5!E55)</f>
        <v>0.58</v>
      </c>
      <c r="G55" s="37">
        <f t="shared" si="1"/>
        <v>0</v>
      </c>
      <c r="H55" s="38">
        <f>MIN(EM_v4_s1!D55,EM_v4_s2!D55,EM_v4_s3!D55,EM_v4_s4!D55,EM_v4_s5!D55)</f>
        <v>118</v>
      </c>
      <c r="I55" s="37">
        <f t="shared" si="2"/>
        <v>0</v>
      </c>
    </row>
    <row r="56" hidden="1">
      <c r="A56" s="6" t="s">
        <v>76</v>
      </c>
      <c r="B56" s="6" t="s">
        <v>45</v>
      </c>
      <c r="C56" s="6" t="str">
        <f>VLOOKUP(A56, 'Indicadores instancias'!$A$1:$I$111, 3, FALSE)</f>
        <v>Mediana</v>
      </c>
      <c r="D56" s="38">
        <f>MAX(EM_v4_s1!D56,EM_v4_s2!D56,EM_v4_s3!D56,EM_v4_s4!D56,EM_v4_s5!D56)</f>
        <v>127</v>
      </c>
      <c r="E56" s="37">
        <f>AVERAGE(EM_v4_s1!D56,EM_v4_s2!D56,EM_v4_s3!D56,EM_v4_s4!D56,EM_v4_s5!D56)</f>
        <v>127</v>
      </c>
      <c r="F56" s="37">
        <f>AVERAGE(EM_v4_s1!E56,EM_v4_s2!E56,EM_v4_s3!E56,EM_v4_s4!E56,EM_v4_s5!E56)</f>
        <v>0.6</v>
      </c>
      <c r="G56" s="37">
        <f t="shared" si="1"/>
        <v>0</v>
      </c>
      <c r="H56" s="38">
        <f>MIN(EM_v4_s1!D56,EM_v4_s2!D56,EM_v4_s3!D56,EM_v4_s4!D56,EM_v4_s5!D56)</f>
        <v>127</v>
      </c>
      <c r="I56" s="37">
        <f t="shared" si="2"/>
        <v>0</v>
      </c>
    </row>
    <row r="57" hidden="1">
      <c r="A57" s="6" t="s">
        <v>62</v>
      </c>
      <c r="B57" s="6" t="s">
        <v>45</v>
      </c>
      <c r="C57" s="6" t="str">
        <f>VLOOKUP(A57, 'Indicadores instancias'!$A$1:$I$111, 3, FALSE)</f>
        <v>Mediana</v>
      </c>
      <c r="D57" s="38">
        <f>MAX(EM_v4_s1!D57,EM_v4_s2!D57,EM_v4_s3!D57,EM_v4_s4!D57,EM_v4_s5!D57)</f>
        <v>222</v>
      </c>
      <c r="E57" s="37">
        <f>AVERAGE(EM_v4_s1!D57,EM_v4_s2!D57,EM_v4_s3!D57,EM_v4_s4!D57,EM_v4_s5!D57)</f>
        <v>222</v>
      </c>
      <c r="F57" s="37">
        <f>AVERAGE(EM_v4_s1!E57,EM_v4_s2!E57,EM_v4_s3!E57,EM_v4_s4!E57,EM_v4_s5!E57)</f>
        <v>1.22</v>
      </c>
      <c r="G57" s="37">
        <f t="shared" si="1"/>
        <v>0</v>
      </c>
      <c r="H57" s="38">
        <f>MIN(EM_v4_s1!D57,EM_v4_s2!D57,EM_v4_s3!D57,EM_v4_s4!D57,EM_v4_s5!D57)</f>
        <v>222</v>
      </c>
      <c r="I57" s="37">
        <f t="shared" si="2"/>
        <v>0</v>
      </c>
    </row>
    <row r="58" hidden="1">
      <c r="A58" s="6" t="s">
        <v>72</v>
      </c>
      <c r="B58" s="6" t="s">
        <v>45</v>
      </c>
      <c r="C58" s="6" t="str">
        <f>VLOOKUP(A58, 'Indicadores instancias'!$A$1:$I$111, 3, FALSE)</f>
        <v>Mediana</v>
      </c>
      <c r="D58" s="38">
        <f>MAX(EM_v4_s1!D58,EM_v4_s2!D58,EM_v4_s3!D58,EM_v4_s4!D58,EM_v4_s5!D58)</f>
        <v>192</v>
      </c>
      <c r="E58" s="37">
        <f>AVERAGE(EM_v4_s1!D58,EM_v4_s2!D58,EM_v4_s3!D58,EM_v4_s4!D58,EM_v4_s5!D58)</f>
        <v>192</v>
      </c>
      <c r="F58" s="37">
        <f>AVERAGE(EM_v4_s1!E58,EM_v4_s2!E58,EM_v4_s3!E58,EM_v4_s4!E58,EM_v4_s5!E58)</f>
        <v>1.3</v>
      </c>
      <c r="G58" s="37">
        <f t="shared" si="1"/>
        <v>0</v>
      </c>
      <c r="H58" s="38">
        <f>MIN(EM_v4_s1!D58,EM_v4_s2!D58,EM_v4_s3!D58,EM_v4_s4!D58,EM_v4_s5!D58)</f>
        <v>192</v>
      </c>
      <c r="I58" s="37">
        <f t="shared" si="2"/>
        <v>0</v>
      </c>
    </row>
    <row r="59" hidden="1">
      <c r="A59" s="6" t="s">
        <v>74</v>
      </c>
      <c r="B59" s="6" t="s">
        <v>45</v>
      </c>
      <c r="C59" s="6" t="str">
        <f>VLOOKUP(A59, 'Indicadores instancias'!$A$1:$I$111, 3, FALSE)</f>
        <v>Mediana</v>
      </c>
      <c r="D59" s="38">
        <f>MAX(EM_v4_s1!D59,EM_v4_s2!D59,EM_v4_s3!D59,EM_v4_s4!D59,EM_v4_s5!D59)</f>
        <v>197</v>
      </c>
      <c r="E59" s="37">
        <f>AVERAGE(EM_v4_s1!D59,EM_v4_s2!D59,EM_v4_s3!D59,EM_v4_s4!D59,EM_v4_s5!D59)</f>
        <v>197</v>
      </c>
      <c r="F59" s="37">
        <f>AVERAGE(EM_v4_s1!E59,EM_v4_s2!E59,EM_v4_s3!E59,EM_v4_s4!E59,EM_v4_s5!E59)</f>
        <v>1.3</v>
      </c>
      <c r="G59" s="37">
        <f t="shared" si="1"/>
        <v>0</v>
      </c>
      <c r="H59" s="38">
        <f>MIN(EM_v4_s1!D59,EM_v4_s2!D59,EM_v4_s3!D59,EM_v4_s4!D59,EM_v4_s5!D59)</f>
        <v>197</v>
      </c>
      <c r="I59" s="37">
        <f t="shared" si="2"/>
        <v>0</v>
      </c>
    </row>
    <row r="60" hidden="1">
      <c r="A60" s="6" t="s">
        <v>120</v>
      </c>
      <c r="B60" s="6" t="s">
        <v>45</v>
      </c>
      <c r="C60" s="6" t="str">
        <f>VLOOKUP(A60, 'Indicadores instancias'!$A$1:$I$111, 3, FALSE)</f>
        <v>Mediana</v>
      </c>
      <c r="D60" s="38">
        <f>MAX(EM_v4_s1!D60,EM_v4_s2!D60,EM_v4_s3!D60,EM_v4_s4!D60,EM_v4_s5!D60)</f>
        <v>189</v>
      </c>
      <c r="E60" s="37">
        <f>AVERAGE(EM_v4_s1!D60,EM_v4_s2!D60,EM_v4_s3!D60,EM_v4_s4!D60,EM_v4_s5!D60)</f>
        <v>189</v>
      </c>
      <c r="F60" s="37">
        <f>AVERAGE(EM_v4_s1!E60,EM_v4_s2!E60,EM_v4_s3!E60,EM_v4_s4!E60,EM_v4_s5!E60)</f>
        <v>1.26</v>
      </c>
      <c r="G60" s="37">
        <f t="shared" si="1"/>
        <v>0</v>
      </c>
      <c r="H60" s="38">
        <f>MIN(EM_v4_s1!D60,EM_v4_s2!D60,EM_v4_s3!D60,EM_v4_s4!D60,EM_v4_s5!D60)</f>
        <v>189</v>
      </c>
      <c r="I60" s="37">
        <f t="shared" si="2"/>
        <v>0</v>
      </c>
    </row>
    <row r="61" hidden="1">
      <c r="A61" s="6" t="s">
        <v>119</v>
      </c>
      <c r="B61" s="6" t="s">
        <v>45</v>
      </c>
      <c r="C61" s="6" t="str">
        <f>VLOOKUP(A61, 'Indicadores instancias'!$A$1:$I$111, 3, FALSE)</f>
        <v>Mediana</v>
      </c>
      <c r="D61" s="38">
        <f>MAX(EM_v4_s1!D61,EM_v4_s2!D61,EM_v4_s3!D61,EM_v4_s4!D61,EM_v4_s5!D61)</f>
        <v>198</v>
      </c>
      <c r="E61" s="37">
        <f>AVERAGE(EM_v4_s1!D61,EM_v4_s2!D61,EM_v4_s3!D61,EM_v4_s4!D61,EM_v4_s5!D61)</f>
        <v>198</v>
      </c>
      <c r="F61" s="37">
        <f>AVERAGE(EM_v4_s1!E61,EM_v4_s2!E61,EM_v4_s3!E61,EM_v4_s4!E61,EM_v4_s5!E61)</f>
        <v>1.24</v>
      </c>
      <c r="G61" s="37">
        <f t="shared" si="1"/>
        <v>0</v>
      </c>
      <c r="H61" s="38">
        <f>MIN(EM_v4_s1!D61,EM_v4_s2!D61,EM_v4_s3!D61,EM_v4_s4!D61,EM_v4_s5!D61)</f>
        <v>198</v>
      </c>
      <c r="I61" s="37">
        <f t="shared" si="2"/>
        <v>0</v>
      </c>
    </row>
    <row r="62" hidden="1">
      <c r="A62" s="6" t="s">
        <v>101</v>
      </c>
      <c r="B62" s="6" t="s">
        <v>45</v>
      </c>
      <c r="C62" s="6" t="str">
        <f>VLOOKUP(A62, 'Indicadores instancias'!$A$1:$I$111, 3, FALSE)</f>
        <v>Mediana</v>
      </c>
      <c r="D62" s="38">
        <f>MAX(EM_v4_s1!D62,EM_v4_s2!D62,EM_v4_s3!D62,EM_v4_s4!D62,EM_v4_s5!D62)</f>
        <v>300</v>
      </c>
      <c r="E62" s="37">
        <f>AVERAGE(EM_v4_s1!D62,EM_v4_s2!D62,EM_v4_s3!D62,EM_v4_s4!D62,EM_v4_s5!D62)</f>
        <v>300</v>
      </c>
      <c r="F62" s="37">
        <f>AVERAGE(EM_v4_s1!E62,EM_v4_s2!E62,EM_v4_s3!E62,EM_v4_s4!E62,EM_v4_s5!E62)</f>
        <v>2.2</v>
      </c>
      <c r="G62" s="37">
        <f t="shared" si="1"/>
        <v>0</v>
      </c>
      <c r="H62" s="38">
        <f>MIN(EM_v4_s1!D62,EM_v4_s2!D62,EM_v4_s3!D62,EM_v4_s4!D62,EM_v4_s5!D62)</f>
        <v>300</v>
      </c>
      <c r="I62" s="37">
        <f t="shared" si="2"/>
        <v>0</v>
      </c>
    </row>
    <row r="63" hidden="1">
      <c r="A63" s="6" t="s">
        <v>117</v>
      </c>
      <c r="B63" s="6" t="s">
        <v>45</v>
      </c>
      <c r="C63" s="6" t="str">
        <f>VLOOKUP(A63, 'Indicadores instancias'!$A$1:$I$111, 3, FALSE)</f>
        <v>Mediana</v>
      </c>
      <c r="D63" s="38">
        <f>MAX(EM_v4_s1!D63,EM_v4_s2!D63,EM_v4_s3!D63,EM_v4_s4!D63,EM_v4_s5!D63)</f>
        <v>282</v>
      </c>
      <c r="E63" s="37">
        <f>AVERAGE(EM_v4_s1!D63,EM_v4_s2!D63,EM_v4_s3!D63,EM_v4_s4!D63,EM_v4_s5!D63)</f>
        <v>282</v>
      </c>
      <c r="F63" s="37">
        <f>AVERAGE(EM_v4_s1!E63,EM_v4_s2!E63,EM_v4_s3!E63,EM_v4_s4!E63,EM_v4_s5!E63)</f>
        <v>2.28</v>
      </c>
      <c r="G63" s="37">
        <f t="shared" si="1"/>
        <v>0</v>
      </c>
      <c r="H63" s="38">
        <f>MIN(EM_v4_s1!D63,EM_v4_s2!D63,EM_v4_s3!D63,EM_v4_s4!D63,EM_v4_s5!D63)</f>
        <v>282</v>
      </c>
      <c r="I63" s="37">
        <f t="shared" si="2"/>
        <v>0</v>
      </c>
    </row>
    <row r="64" hidden="1">
      <c r="A64" s="6" t="s">
        <v>98</v>
      </c>
      <c r="B64" s="6" t="s">
        <v>45</v>
      </c>
      <c r="C64" s="6" t="str">
        <f>VLOOKUP(A64, 'Indicadores instancias'!$A$1:$I$111, 3, FALSE)</f>
        <v>Mediana</v>
      </c>
      <c r="D64" s="38">
        <f>MAX(EM_v4_s1!D64,EM_v4_s2!D64,EM_v4_s3!D64,EM_v4_s4!D64,EM_v4_s5!D64)</f>
        <v>300</v>
      </c>
      <c r="E64" s="37">
        <f>AVERAGE(EM_v4_s1!D64,EM_v4_s2!D64,EM_v4_s3!D64,EM_v4_s4!D64,EM_v4_s5!D64)</f>
        <v>300</v>
      </c>
      <c r="F64" s="37">
        <f>AVERAGE(EM_v4_s1!E64,EM_v4_s2!E64,EM_v4_s3!E64,EM_v4_s4!E64,EM_v4_s5!E64)</f>
        <v>2.2</v>
      </c>
      <c r="G64" s="37">
        <f t="shared" si="1"/>
        <v>0</v>
      </c>
      <c r="H64" s="38">
        <f>MIN(EM_v4_s1!D64,EM_v4_s2!D64,EM_v4_s3!D64,EM_v4_s4!D64,EM_v4_s5!D64)</f>
        <v>300</v>
      </c>
      <c r="I64" s="37">
        <f t="shared" si="2"/>
        <v>0</v>
      </c>
    </row>
    <row r="65" hidden="1">
      <c r="A65" s="6" t="s">
        <v>143</v>
      </c>
      <c r="B65" s="6" t="s">
        <v>45</v>
      </c>
      <c r="C65" s="6" t="str">
        <f>VLOOKUP(A65, 'Indicadores instancias'!$A$1:$I$111, 3, FALSE)</f>
        <v>Mediana</v>
      </c>
      <c r="D65" s="38">
        <f>MAX(EM_v4_s1!D65,EM_v4_s2!D65,EM_v4_s3!D65,EM_v4_s4!D65,EM_v4_s5!D65)</f>
        <v>282</v>
      </c>
      <c r="E65" s="37">
        <f>AVERAGE(EM_v4_s1!D65,EM_v4_s2!D65,EM_v4_s3!D65,EM_v4_s4!D65,EM_v4_s5!D65)</f>
        <v>282</v>
      </c>
      <c r="F65" s="37">
        <f>AVERAGE(EM_v4_s1!E65,EM_v4_s2!E65,EM_v4_s3!E65,EM_v4_s4!E65,EM_v4_s5!E65)</f>
        <v>2.24</v>
      </c>
      <c r="G65" s="37">
        <f t="shared" si="1"/>
        <v>0</v>
      </c>
      <c r="H65" s="38">
        <f>MIN(EM_v4_s1!D65,EM_v4_s2!D65,EM_v4_s3!D65,EM_v4_s4!D65,EM_v4_s5!D65)</f>
        <v>282</v>
      </c>
      <c r="I65" s="37">
        <f t="shared" si="2"/>
        <v>0</v>
      </c>
    </row>
    <row r="66" hidden="1">
      <c r="A66" s="6" t="s">
        <v>92</v>
      </c>
      <c r="B66" s="6" t="s">
        <v>45</v>
      </c>
      <c r="C66" s="6" t="str">
        <f>VLOOKUP(A66, 'Indicadores instancias'!$A$1:$I$111, 3, FALSE)</f>
        <v>Mediana</v>
      </c>
      <c r="D66" s="38">
        <f>MAX(EM_v4_s1!D66,EM_v4_s2!D66,EM_v4_s3!D66,EM_v4_s4!D66,EM_v4_s5!D66)</f>
        <v>305</v>
      </c>
      <c r="E66" s="37">
        <f>AVERAGE(EM_v4_s1!D66,EM_v4_s2!D66,EM_v4_s3!D66,EM_v4_s4!D66,EM_v4_s5!D66)</f>
        <v>305</v>
      </c>
      <c r="F66" s="37">
        <f>AVERAGE(EM_v4_s1!E66,EM_v4_s2!E66,EM_v4_s3!E66,EM_v4_s4!E66,EM_v4_s5!E66)</f>
        <v>2.14</v>
      </c>
      <c r="G66" s="37">
        <f t="shared" si="1"/>
        <v>0</v>
      </c>
      <c r="H66" s="38">
        <f>MIN(EM_v4_s1!D66,EM_v4_s2!D66,EM_v4_s3!D66,EM_v4_s4!D66,EM_v4_s5!D66)</f>
        <v>305</v>
      </c>
      <c r="I66" s="37">
        <f t="shared" si="2"/>
        <v>0</v>
      </c>
    </row>
    <row r="67" hidden="1">
      <c r="A67" s="6" t="s">
        <v>97</v>
      </c>
      <c r="B67" s="6" t="s">
        <v>45</v>
      </c>
      <c r="C67" s="6" t="str">
        <f>VLOOKUP(A67, 'Indicadores instancias'!$A$1:$I$111, 3, FALSE)</f>
        <v>Mediana</v>
      </c>
      <c r="D67" s="38">
        <f>MAX(EM_v4_s1!D67,EM_v4_s2!D67,EM_v4_s3!D67,EM_v4_s4!D67,EM_v4_s5!D67)</f>
        <v>392</v>
      </c>
      <c r="E67" s="37">
        <f>AVERAGE(EM_v4_s1!D67,EM_v4_s2!D67,EM_v4_s3!D67,EM_v4_s4!D67,EM_v4_s5!D67)</f>
        <v>391.8</v>
      </c>
      <c r="F67" s="37">
        <f>AVERAGE(EM_v4_s1!E67,EM_v4_s2!E67,EM_v4_s3!E67,EM_v4_s4!E67,EM_v4_s5!E67)</f>
        <v>3.32</v>
      </c>
      <c r="G67" s="37">
        <f t="shared" si="1"/>
        <v>0.2</v>
      </c>
      <c r="H67" s="38">
        <f>MIN(EM_v4_s1!D67,EM_v4_s2!D67,EM_v4_s3!D67,EM_v4_s4!D67,EM_v4_s5!D67)</f>
        <v>391</v>
      </c>
      <c r="I67" s="37">
        <f t="shared" si="2"/>
        <v>0.2551020408</v>
      </c>
    </row>
    <row r="68" hidden="1">
      <c r="A68" s="6" t="s">
        <v>121</v>
      </c>
      <c r="B68" s="6" t="s">
        <v>45</v>
      </c>
      <c r="C68" s="6" t="str">
        <f>VLOOKUP(A68, 'Indicadores instancias'!$A$1:$I$111, 3, FALSE)</f>
        <v>Mediana</v>
      </c>
      <c r="D68" s="38">
        <f>MAX(EM_v4_s1!D68,EM_v4_s2!D68,EM_v4_s3!D68,EM_v4_s4!D68,EM_v4_s5!D68)</f>
        <v>388</v>
      </c>
      <c r="E68" s="37">
        <f>AVERAGE(EM_v4_s1!D68,EM_v4_s2!D68,EM_v4_s3!D68,EM_v4_s4!D68,EM_v4_s5!D68)</f>
        <v>388</v>
      </c>
      <c r="F68" s="37">
        <f>AVERAGE(EM_v4_s1!E68,EM_v4_s2!E68,EM_v4_s3!E68,EM_v4_s4!E68,EM_v4_s5!E68)</f>
        <v>3.4</v>
      </c>
      <c r="G68" s="37">
        <f t="shared" si="1"/>
        <v>0</v>
      </c>
      <c r="H68" s="38">
        <f>MIN(EM_v4_s1!D68,EM_v4_s2!D68,EM_v4_s3!D68,EM_v4_s4!D68,EM_v4_s5!D68)</f>
        <v>388</v>
      </c>
      <c r="I68" s="37">
        <f t="shared" si="2"/>
        <v>0</v>
      </c>
    </row>
    <row r="69" hidden="1">
      <c r="A69" s="6" t="s">
        <v>116</v>
      </c>
      <c r="B69" s="6" t="s">
        <v>45</v>
      </c>
      <c r="C69" s="6" t="str">
        <f>VLOOKUP(A69, 'Indicadores instancias'!$A$1:$I$111, 3, FALSE)</f>
        <v>Mediana</v>
      </c>
      <c r="D69" s="38">
        <f>MAX(EM_v4_s1!D69,EM_v4_s2!D69,EM_v4_s3!D69,EM_v4_s4!D69,EM_v4_s5!D69)</f>
        <v>380</v>
      </c>
      <c r="E69" s="37">
        <f>AVERAGE(EM_v4_s1!D69,EM_v4_s2!D69,EM_v4_s3!D69,EM_v4_s4!D69,EM_v4_s5!D69)</f>
        <v>379.6</v>
      </c>
      <c r="F69" s="37">
        <f>AVERAGE(EM_v4_s1!E69,EM_v4_s2!E69,EM_v4_s3!E69,EM_v4_s4!E69,EM_v4_s5!E69)</f>
        <v>3.54</v>
      </c>
      <c r="G69" s="37">
        <f t="shared" si="1"/>
        <v>0.4</v>
      </c>
      <c r="H69" s="38">
        <f>MIN(EM_v4_s1!D69,EM_v4_s2!D69,EM_v4_s3!D69,EM_v4_s4!D69,EM_v4_s5!D69)</f>
        <v>379</v>
      </c>
      <c r="I69" s="37">
        <f t="shared" si="2"/>
        <v>0.2631578947</v>
      </c>
    </row>
    <row r="70" hidden="1">
      <c r="A70" s="6" t="s">
        <v>102</v>
      </c>
      <c r="B70" s="6" t="s">
        <v>45</v>
      </c>
      <c r="C70" s="6" t="str">
        <f>VLOOKUP(A70, 'Indicadores instancias'!$A$1:$I$111, 3, FALSE)</f>
        <v>Mediana</v>
      </c>
      <c r="D70" s="38">
        <f>MAX(EM_v4_s1!D70,EM_v4_s2!D70,EM_v4_s3!D70,EM_v4_s4!D70,EM_v4_s5!D70)</f>
        <v>369</v>
      </c>
      <c r="E70" s="37">
        <f>AVERAGE(EM_v4_s1!D70,EM_v4_s2!D70,EM_v4_s3!D70,EM_v4_s4!D70,EM_v4_s5!D70)</f>
        <v>368</v>
      </c>
      <c r="F70" s="37">
        <f>AVERAGE(EM_v4_s1!E70,EM_v4_s2!E70,EM_v4_s3!E70,EM_v4_s4!E70,EM_v4_s5!E70)</f>
        <v>3.5</v>
      </c>
      <c r="G70" s="37">
        <f t="shared" si="1"/>
        <v>1</v>
      </c>
      <c r="H70" s="38">
        <f>MIN(EM_v4_s1!D70,EM_v4_s2!D70,EM_v4_s3!D70,EM_v4_s4!D70,EM_v4_s5!D70)</f>
        <v>367</v>
      </c>
      <c r="I70" s="37">
        <f t="shared" si="2"/>
        <v>0.5420054201</v>
      </c>
    </row>
    <row r="71" hidden="1">
      <c r="A71" s="6" t="s">
        <v>147</v>
      </c>
      <c r="B71" s="6" t="s">
        <v>45</v>
      </c>
      <c r="C71" s="6" t="str">
        <f>VLOOKUP(A71, 'Indicadores instancias'!$A$1:$I$111, 3, FALSE)</f>
        <v>Mediana</v>
      </c>
      <c r="D71" s="38">
        <f>MAX(EM_v4_s1!D71,EM_v4_s2!D71,EM_v4_s3!D71,EM_v4_s4!D71,EM_v4_s5!D71)</f>
        <v>384</v>
      </c>
      <c r="E71" s="37">
        <f>AVERAGE(EM_v4_s1!D71,EM_v4_s2!D71,EM_v4_s3!D71,EM_v4_s4!D71,EM_v4_s5!D71)</f>
        <v>383.6</v>
      </c>
      <c r="F71" s="37">
        <f>AVERAGE(EM_v4_s1!E71,EM_v4_s2!E71,EM_v4_s3!E71,EM_v4_s4!E71,EM_v4_s5!E71)</f>
        <v>3.46</v>
      </c>
      <c r="G71" s="37">
        <f t="shared" si="1"/>
        <v>0.4</v>
      </c>
      <c r="H71" s="38">
        <f>MIN(EM_v4_s1!D71,EM_v4_s2!D71,EM_v4_s3!D71,EM_v4_s4!D71,EM_v4_s5!D71)</f>
        <v>383</v>
      </c>
      <c r="I71" s="37">
        <f t="shared" si="2"/>
        <v>0.2604166667</v>
      </c>
    </row>
    <row r="72" hidden="1">
      <c r="A72" s="6" t="s">
        <v>146</v>
      </c>
      <c r="B72" s="6" t="s">
        <v>45</v>
      </c>
      <c r="C72" s="6" t="str">
        <f>VLOOKUP(A72, 'Indicadores instancias'!$A$1:$I$111, 3, FALSE)</f>
        <v>Mediana</v>
      </c>
      <c r="D72" s="38">
        <f>MAX(EM_v4_s1!D72,EM_v4_s2!D72,EM_v4_s3!D72,EM_v4_s4!D72,EM_v4_s5!D72)</f>
        <v>479</v>
      </c>
      <c r="E72" s="37">
        <f>AVERAGE(EM_v4_s1!D72,EM_v4_s2!D72,EM_v4_s3!D72,EM_v4_s4!D72,EM_v4_s5!D72)</f>
        <v>478.6</v>
      </c>
      <c r="F72" s="37">
        <f>AVERAGE(EM_v4_s1!E72,EM_v4_s2!E72,EM_v4_s3!E72,EM_v4_s4!E72,EM_v4_s5!E72)</f>
        <v>5</v>
      </c>
      <c r="G72" s="37">
        <f t="shared" si="1"/>
        <v>0.4</v>
      </c>
      <c r="H72" s="38">
        <f>MIN(EM_v4_s1!D72,EM_v4_s2!D72,EM_v4_s3!D72,EM_v4_s4!D72,EM_v4_s5!D72)</f>
        <v>478</v>
      </c>
      <c r="I72" s="37">
        <f t="shared" si="2"/>
        <v>0.2087682672</v>
      </c>
    </row>
    <row r="73" hidden="1">
      <c r="A73" s="6" t="s">
        <v>89</v>
      </c>
      <c r="B73" s="6" t="s">
        <v>45</v>
      </c>
      <c r="C73" s="6" t="str">
        <f>VLOOKUP(A73, 'Indicadores instancias'!$A$1:$I$111, 3, FALSE)</f>
        <v>Mediana</v>
      </c>
      <c r="D73" s="38">
        <f>MAX(EM_v4_s1!D73,EM_v4_s2!D73,EM_v4_s3!D73,EM_v4_s4!D73,EM_v4_s5!D73)</f>
        <v>478</v>
      </c>
      <c r="E73" s="37">
        <f>AVERAGE(EM_v4_s1!D73,EM_v4_s2!D73,EM_v4_s3!D73,EM_v4_s4!D73,EM_v4_s5!D73)</f>
        <v>477.6</v>
      </c>
      <c r="F73" s="37">
        <f>AVERAGE(EM_v4_s1!E73,EM_v4_s2!E73,EM_v4_s3!E73,EM_v4_s4!E73,EM_v4_s5!E73)</f>
        <v>4.96</v>
      </c>
      <c r="G73" s="37">
        <f t="shared" si="1"/>
        <v>0.4</v>
      </c>
      <c r="H73" s="38">
        <f>MIN(EM_v4_s1!D73,EM_v4_s2!D73,EM_v4_s3!D73,EM_v4_s4!D73,EM_v4_s5!D73)</f>
        <v>477</v>
      </c>
      <c r="I73" s="37">
        <f t="shared" si="2"/>
        <v>0.2092050209</v>
      </c>
    </row>
    <row r="74" hidden="1">
      <c r="A74" s="6" t="s">
        <v>47</v>
      </c>
      <c r="B74" s="6" t="s">
        <v>45</v>
      </c>
      <c r="C74" s="6" t="str">
        <f>VLOOKUP(A74, 'Indicadores instancias'!$A$1:$I$111, 3, FALSE)</f>
        <v>Mediana</v>
      </c>
      <c r="D74" s="38">
        <f>MAX(EM_v4_s1!D74,EM_v4_s2!D74,EM_v4_s3!D74,EM_v4_s4!D74,EM_v4_s5!D74)</f>
        <v>484</v>
      </c>
      <c r="E74" s="37">
        <f>AVERAGE(EM_v4_s1!D74,EM_v4_s2!D74,EM_v4_s3!D74,EM_v4_s4!D74,EM_v4_s5!D74)</f>
        <v>482.8</v>
      </c>
      <c r="F74" s="37">
        <f>AVERAGE(EM_v4_s1!E74,EM_v4_s2!E74,EM_v4_s3!E74,EM_v4_s4!E74,EM_v4_s5!E74)</f>
        <v>4.9</v>
      </c>
      <c r="G74" s="37">
        <f t="shared" si="1"/>
        <v>1.2</v>
      </c>
      <c r="H74" s="38">
        <f>MIN(EM_v4_s1!D74,EM_v4_s2!D74,EM_v4_s3!D74,EM_v4_s4!D74,EM_v4_s5!D74)</f>
        <v>482</v>
      </c>
      <c r="I74" s="37">
        <f t="shared" si="2"/>
        <v>0.4132231405</v>
      </c>
    </row>
    <row r="75" hidden="1">
      <c r="A75" s="6" t="s">
        <v>137</v>
      </c>
      <c r="B75" s="6" t="s">
        <v>45</v>
      </c>
      <c r="C75" s="6" t="str">
        <f>VLOOKUP(A75, 'Indicadores instancias'!$A$1:$I$111, 3, FALSE)</f>
        <v>Mediana</v>
      </c>
      <c r="D75" s="38">
        <f>MAX(EM_v4_s1!D75,EM_v4_s2!D75,EM_v4_s3!D75,EM_v4_s4!D75,EM_v4_s5!D75)</f>
        <v>484</v>
      </c>
      <c r="E75" s="37">
        <f>AVERAGE(EM_v4_s1!D75,EM_v4_s2!D75,EM_v4_s3!D75,EM_v4_s4!D75,EM_v4_s5!D75)</f>
        <v>484</v>
      </c>
      <c r="F75" s="37">
        <f>AVERAGE(EM_v4_s1!E75,EM_v4_s2!E75,EM_v4_s3!E75,EM_v4_s4!E75,EM_v4_s5!E75)</f>
        <v>4.82</v>
      </c>
      <c r="G75" s="37">
        <f t="shared" si="1"/>
        <v>0</v>
      </c>
      <c r="H75" s="38">
        <f>MIN(EM_v4_s1!D75,EM_v4_s2!D75,EM_v4_s3!D75,EM_v4_s4!D75,EM_v4_s5!D75)</f>
        <v>484</v>
      </c>
      <c r="I75" s="37">
        <f t="shared" si="2"/>
        <v>0</v>
      </c>
    </row>
    <row r="76" hidden="1">
      <c r="A76" s="6" t="s">
        <v>136</v>
      </c>
      <c r="B76" s="6" t="s">
        <v>45</v>
      </c>
      <c r="C76" s="6" t="str">
        <f>VLOOKUP(A76, 'Indicadores instancias'!$A$1:$I$111, 3, FALSE)</f>
        <v>Mediana</v>
      </c>
      <c r="D76" s="38">
        <f>MAX(EM_v4_s1!D76,EM_v4_s2!D76,EM_v4_s3!D76,EM_v4_s4!D76,EM_v4_s5!D76)</f>
        <v>457</v>
      </c>
      <c r="E76" s="37">
        <f>AVERAGE(EM_v4_s1!D76,EM_v4_s2!D76,EM_v4_s3!D76,EM_v4_s4!D76,EM_v4_s5!D76)</f>
        <v>455.6</v>
      </c>
      <c r="F76" s="37">
        <f>AVERAGE(EM_v4_s1!E76,EM_v4_s2!E76,EM_v4_s3!E76,EM_v4_s4!E76,EM_v4_s5!E76)</f>
        <v>4.96</v>
      </c>
      <c r="G76" s="37">
        <f t="shared" si="1"/>
        <v>1.4</v>
      </c>
      <c r="H76" s="38">
        <f>MIN(EM_v4_s1!D76,EM_v4_s2!D76,EM_v4_s3!D76,EM_v4_s4!D76,EM_v4_s5!D76)</f>
        <v>454</v>
      </c>
      <c r="I76" s="37">
        <f t="shared" si="2"/>
        <v>0.6564551422</v>
      </c>
    </row>
    <row r="77" hidden="1">
      <c r="A77" s="6" t="s">
        <v>128</v>
      </c>
      <c r="B77" s="6" t="s">
        <v>45</v>
      </c>
      <c r="C77" s="6" t="str">
        <f>VLOOKUP(A77, 'Indicadores instancias'!$A$1:$I$111, 3, FALSE)</f>
        <v>Mediana</v>
      </c>
      <c r="D77" s="38">
        <f>MAX(EM_v4_s1!D77,EM_v4_s2!D77,EM_v4_s3!D77,EM_v4_s4!D77,EM_v4_s5!D77)</f>
        <v>680</v>
      </c>
      <c r="E77" s="37">
        <f>AVERAGE(EM_v4_s1!D77,EM_v4_s2!D77,EM_v4_s3!D77,EM_v4_s4!D77,EM_v4_s5!D77)</f>
        <v>680</v>
      </c>
      <c r="F77" s="37">
        <f>AVERAGE(EM_v4_s1!E77,EM_v4_s2!E77,EM_v4_s3!E77,EM_v4_s4!E77,EM_v4_s5!E77)</f>
        <v>8.86</v>
      </c>
      <c r="G77" s="37">
        <f t="shared" si="1"/>
        <v>0</v>
      </c>
      <c r="H77" s="38">
        <f>MIN(EM_v4_s1!D77,EM_v4_s2!D77,EM_v4_s3!D77,EM_v4_s4!D77,EM_v4_s5!D77)</f>
        <v>680</v>
      </c>
      <c r="I77" s="37">
        <f t="shared" si="2"/>
        <v>0</v>
      </c>
    </row>
    <row r="78" hidden="1">
      <c r="A78" s="6" t="s">
        <v>68</v>
      </c>
      <c r="B78" s="6" t="s">
        <v>45</v>
      </c>
      <c r="C78" s="6" t="str">
        <f>VLOOKUP(A78, 'Indicadores instancias'!$A$1:$I$111, 3, FALSE)</f>
        <v>Mediana</v>
      </c>
      <c r="D78" s="38">
        <f>MAX(EM_v4_s1!D78,EM_v4_s2!D78,EM_v4_s3!D78,EM_v4_s4!D78,EM_v4_s5!D78)</f>
        <v>678</v>
      </c>
      <c r="E78" s="37">
        <f>AVERAGE(EM_v4_s1!D78,EM_v4_s2!D78,EM_v4_s3!D78,EM_v4_s4!D78,EM_v4_s5!D78)</f>
        <v>676.6</v>
      </c>
      <c r="F78" s="37">
        <f>AVERAGE(EM_v4_s1!E78,EM_v4_s2!E78,EM_v4_s3!E78,EM_v4_s4!E78,EM_v4_s5!E78)</f>
        <v>8.86</v>
      </c>
      <c r="G78" s="37">
        <f t="shared" si="1"/>
        <v>1.4</v>
      </c>
      <c r="H78" s="38">
        <f>MIN(EM_v4_s1!D78,EM_v4_s2!D78,EM_v4_s3!D78,EM_v4_s4!D78,EM_v4_s5!D78)</f>
        <v>675</v>
      </c>
      <c r="I78" s="37">
        <f t="shared" si="2"/>
        <v>0.4424778761</v>
      </c>
    </row>
    <row r="79" hidden="1">
      <c r="A79" s="6" t="s">
        <v>112</v>
      </c>
      <c r="B79" s="6" t="s">
        <v>45</v>
      </c>
      <c r="C79" s="6" t="str">
        <f>VLOOKUP(A79, 'Indicadores instancias'!$A$1:$I$111, 3, FALSE)</f>
        <v>Mediana</v>
      </c>
      <c r="D79" s="38">
        <f>MAX(EM_v4_s1!D79,EM_v4_s2!D79,EM_v4_s3!D79,EM_v4_s4!D79,EM_v4_s5!D79)</f>
        <v>685</v>
      </c>
      <c r="E79" s="37">
        <f>AVERAGE(EM_v4_s1!D79,EM_v4_s2!D79,EM_v4_s3!D79,EM_v4_s4!D79,EM_v4_s5!D79)</f>
        <v>684</v>
      </c>
      <c r="F79" s="37">
        <f>AVERAGE(EM_v4_s1!E79,EM_v4_s2!E79,EM_v4_s3!E79,EM_v4_s4!E79,EM_v4_s5!E79)</f>
        <v>8.52</v>
      </c>
      <c r="G79" s="37">
        <f t="shared" si="1"/>
        <v>1</v>
      </c>
      <c r="H79" s="38">
        <f>MIN(EM_v4_s1!D79,EM_v4_s2!D79,EM_v4_s3!D79,EM_v4_s4!D79,EM_v4_s5!D79)</f>
        <v>683</v>
      </c>
      <c r="I79" s="37">
        <f t="shared" si="2"/>
        <v>0.2919708029</v>
      </c>
    </row>
    <row r="80" hidden="1">
      <c r="A80" s="6" t="s">
        <v>145</v>
      </c>
      <c r="B80" s="6" t="s">
        <v>45</v>
      </c>
      <c r="C80" s="6" t="str">
        <f>VLOOKUP(A80, 'Indicadores instancias'!$A$1:$I$111, 3, FALSE)</f>
        <v>Mediana</v>
      </c>
      <c r="D80" s="38">
        <f>MAX(EM_v4_s1!D80,EM_v4_s2!D80,EM_v4_s3!D80,EM_v4_s4!D80,EM_v4_s5!D80)</f>
        <v>685</v>
      </c>
      <c r="E80" s="37">
        <f>AVERAGE(EM_v4_s1!D80,EM_v4_s2!D80,EM_v4_s3!D80,EM_v4_s4!D80,EM_v4_s5!D80)</f>
        <v>684.6</v>
      </c>
      <c r="F80" s="37">
        <f>AVERAGE(EM_v4_s1!E80,EM_v4_s2!E80,EM_v4_s3!E80,EM_v4_s4!E80,EM_v4_s5!E80)</f>
        <v>8.78</v>
      </c>
      <c r="G80" s="37">
        <f t="shared" si="1"/>
        <v>0.4</v>
      </c>
      <c r="H80" s="38">
        <f>MIN(EM_v4_s1!D80,EM_v4_s2!D80,EM_v4_s3!D80,EM_v4_s4!D80,EM_v4_s5!D80)</f>
        <v>684</v>
      </c>
      <c r="I80" s="37">
        <f t="shared" si="2"/>
        <v>0.1459854015</v>
      </c>
    </row>
    <row r="81" hidden="1">
      <c r="A81" s="6" t="s">
        <v>56</v>
      </c>
      <c r="B81" s="6" t="s">
        <v>45</v>
      </c>
      <c r="C81" s="6" t="str">
        <f>VLOOKUP(A81, 'Indicadores instancias'!$A$1:$I$111, 3, FALSE)</f>
        <v>Mediana</v>
      </c>
      <c r="D81" s="38">
        <f>MAX(EM_v4_s1!D81,EM_v4_s2!D81,EM_v4_s3!D81,EM_v4_s4!D81,EM_v4_s5!D81)</f>
        <v>684</v>
      </c>
      <c r="E81" s="37">
        <f>AVERAGE(EM_v4_s1!D81,EM_v4_s2!D81,EM_v4_s3!D81,EM_v4_s4!D81,EM_v4_s5!D81)</f>
        <v>683.8</v>
      </c>
      <c r="F81" s="37">
        <f>AVERAGE(EM_v4_s1!E81,EM_v4_s2!E81,EM_v4_s3!E81,EM_v4_s4!E81,EM_v4_s5!E81)</f>
        <v>8.76</v>
      </c>
      <c r="G81" s="37">
        <f t="shared" si="1"/>
        <v>0.2</v>
      </c>
      <c r="H81" s="38">
        <f>MIN(EM_v4_s1!D81,EM_v4_s2!D81,EM_v4_s3!D81,EM_v4_s4!D81,EM_v4_s5!D81)</f>
        <v>683</v>
      </c>
      <c r="I81" s="37">
        <f t="shared" si="2"/>
        <v>0.1461988304</v>
      </c>
    </row>
    <row r="82" hidden="1">
      <c r="A82" s="6" t="s">
        <v>77</v>
      </c>
      <c r="B82" s="6" t="s">
        <v>45</v>
      </c>
      <c r="C82" s="6" t="str">
        <f>VLOOKUP(A82, 'Indicadores instancias'!$A$1:$I$111, 3, FALSE)</f>
        <v>Grande</v>
      </c>
      <c r="D82" s="38">
        <f>MAX(EM_v4_s1!D82,EM_v4_s2!D82,EM_v4_s3!D82,EM_v4_s4!D82,EM_v4_s5!D82)</f>
        <v>858</v>
      </c>
      <c r="E82" s="37">
        <f>AVERAGE(EM_v4_s1!D82,EM_v4_s2!D82,EM_v4_s3!D82,EM_v4_s4!D82,EM_v4_s5!D82)</f>
        <v>856</v>
      </c>
      <c r="F82" s="37">
        <f>AVERAGE(EM_v4_s1!E82,EM_v4_s2!E82,EM_v4_s3!E82,EM_v4_s4!E82,EM_v4_s5!E82)</f>
        <v>14</v>
      </c>
      <c r="G82" s="37">
        <f t="shared" si="1"/>
        <v>2</v>
      </c>
      <c r="H82" s="38">
        <f>MIN(EM_v4_s1!D82,EM_v4_s2!D82,EM_v4_s3!D82,EM_v4_s4!D82,EM_v4_s5!D82)</f>
        <v>855</v>
      </c>
      <c r="I82" s="37">
        <f t="shared" si="2"/>
        <v>0.3496503497</v>
      </c>
    </row>
    <row r="83" hidden="1">
      <c r="A83" s="6" t="s">
        <v>67</v>
      </c>
      <c r="B83" s="6" t="s">
        <v>45</v>
      </c>
      <c r="C83" s="6" t="str">
        <f>VLOOKUP(A83, 'Indicadores instancias'!$A$1:$I$111, 3, FALSE)</f>
        <v>Grande</v>
      </c>
      <c r="D83" s="38">
        <f>MAX(EM_v4_s1!D83,EM_v4_s2!D83,EM_v4_s3!D83,EM_v4_s4!D83,EM_v4_s5!D83)</f>
        <v>850</v>
      </c>
      <c r="E83" s="37">
        <f>AVERAGE(EM_v4_s1!D83,EM_v4_s2!D83,EM_v4_s3!D83,EM_v4_s4!D83,EM_v4_s5!D83)</f>
        <v>847.2</v>
      </c>
      <c r="F83" s="37">
        <f>AVERAGE(EM_v4_s1!E83,EM_v4_s2!E83,EM_v4_s3!E83,EM_v4_s4!E83,EM_v4_s5!E83)</f>
        <v>13.52</v>
      </c>
      <c r="G83" s="37">
        <f t="shared" si="1"/>
        <v>2.8</v>
      </c>
      <c r="H83" s="38">
        <f>MIN(EM_v4_s1!D83,EM_v4_s2!D83,EM_v4_s3!D83,EM_v4_s4!D83,EM_v4_s5!D83)</f>
        <v>845</v>
      </c>
      <c r="I83" s="37">
        <f t="shared" si="2"/>
        <v>0.5882352941</v>
      </c>
    </row>
    <row r="84" hidden="1">
      <c r="A84" s="6" t="s">
        <v>70</v>
      </c>
      <c r="B84" s="6" t="s">
        <v>45</v>
      </c>
      <c r="C84" s="6" t="str">
        <f>VLOOKUP(A84, 'Indicadores instancias'!$A$1:$I$111, 3, FALSE)</f>
        <v>Grande</v>
      </c>
      <c r="D84" s="38">
        <f>MAX(EM_v4_s1!D84,EM_v4_s2!D84,EM_v4_s3!D84,EM_v4_s4!D84,EM_v4_s5!D84)</f>
        <v>855</v>
      </c>
      <c r="E84" s="37">
        <f>AVERAGE(EM_v4_s1!D84,EM_v4_s2!D84,EM_v4_s3!D84,EM_v4_s4!D84,EM_v4_s5!D84)</f>
        <v>852.4</v>
      </c>
      <c r="F84" s="37">
        <f>AVERAGE(EM_v4_s1!E84,EM_v4_s2!E84,EM_v4_s3!E84,EM_v4_s4!E84,EM_v4_s5!E84)</f>
        <v>14.06</v>
      </c>
      <c r="G84" s="37">
        <f t="shared" si="1"/>
        <v>2.6</v>
      </c>
      <c r="H84" s="38">
        <f>MIN(EM_v4_s1!D84,EM_v4_s2!D84,EM_v4_s3!D84,EM_v4_s4!D84,EM_v4_s5!D84)</f>
        <v>851</v>
      </c>
      <c r="I84" s="37">
        <f t="shared" si="2"/>
        <v>0.4678362573</v>
      </c>
    </row>
    <row r="85" hidden="1">
      <c r="A85" s="6" t="s">
        <v>104</v>
      </c>
      <c r="B85" s="6" t="s">
        <v>45</v>
      </c>
      <c r="C85" s="6" t="str">
        <f>VLOOKUP(A85, 'Indicadores instancias'!$A$1:$I$111, 3, FALSE)</f>
        <v>Grande</v>
      </c>
      <c r="D85" s="38">
        <f>MAX(EM_v4_s1!D85,EM_v4_s2!D85,EM_v4_s3!D85,EM_v4_s4!D85,EM_v4_s5!D85)</f>
        <v>849</v>
      </c>
      <c r="E85" s="37">
        <f>AVERAGE(EM_v4_s1!D85,EM_v4_s2!D85,EM_v4_s3!D85,EM_v4_s4!D85,EM_v4_s5!D85)</f>
        <v>846.4</v>
      </c>
      <c r="F85" s="37">
        <f>AVERAGE(EM_v4_s1!E85,EM_v4_s2!E85,EM_v4_s3!E85,EM_v4_s4!E85,EM_v4_s5!E85)</f>
        <v>13.64</v>
      </c>
      <c r="G85" s="37">
        <f t="shared" si="1"/>
        <v>2.6</v>
      </c>
      <c r="H85" s="38">
        <f>MIN(EM_v4_s1!D85,EM_v4_s2!D85,EM_v4_s3!D85,EM_v4_s4!D85,EM_v4_s5!D85)</f>
        <v>843</v>
      </c>
      <c r="I85" s="37">
        <f t="shared" si="2"/>
        <v>0.7067137809</v>
      </c>
    </row>
    <row r="86" hidden="1">
      <c r="A86" s="6" t="s">
        <v>84</v>
      </c>
      <c r="B86" s="6" t="s">
        <v>45</v>
      </c>
      <c r="C86" s="6" t="str">
        <f>VLOOKUP(A86, 'Indicadores instancias'!$A$1:$I$111, 3, FALSE)</f>
        <v>Grande</v>
      </c>
      <c r="D86" s="38">
        <f>MAX(EM_v4_s1!D86,EM_v4_s2!D86,EM_v4_s3!D86,EM_v4_s4!D86,EM_v4_s5!D86)</f>
        <v>860</v>
      </c>
      <c r="E86" s="37">
        <f>AVERAGE(EM_v4_s1!D86,EM_v4_s2!D86,EM_v4_s3!D86,EM_v4_s4!D86,EM_v4_s5!D86)</f>
        <v>857.6</v>
      </c>
      <c r="F86" s="37">
        <f>AVERAGE(EM_v4_s1!E86,EM_v4_s2!E86,EM_v4_s3!E86,EM_v4_s4!E86,EM_v4_s5!E86)</f>
        <v>13.9</v>
      </c>
      <c r="G86" s="37">
        <f t="shared" si="1"/>
        <v>2.4</v>
      </c>
      <c r="H86" s="38">
        <f>MIN(EM_v4_s1!D86,EM_v4_s2!D86,EM_v4_s3!D86,EM_v4_s4!D86,EM_v4_s5!D86)</f>
        <v>856</v>
      </c>
      <c r="I86" s="37">
        <f t="shared" si="2"/>
        <v>0.4651162791</v>
      </c>
    </row>
    <row r="87" hidden="1">
      <c r="A87" s="6" t="s">
        <v>107</v>
      </c>
      <c r="B87" s="6" t="s">
        <v>45</v>
      </c>
      <c r="C87" s="6" t="str">
        <f>VLOOKUP(A87, 'Indicadores instancias'!$A$1:$I$111, 3, FALSE)</f>
        <v>Grande</v>
      </c>
      <c r="D87" s="38">
        <f>MAX(EM_v4_s1!D87,EM_v4_s2!D87,EM_v4_s3!D87,EM_v4_s4!D87,EM_v4_s5!D87)</f>
        <v>981</v>
      </c>
      <c r="E87" s="37">
        <f>AVERAGE(EM_v4_s1!D87,EM_v4_s2!D87,EM_v4_s3!D87,EM_v4_s4!D87,EM_v4_s5!D87)</f>
        <v>979.6</v>
      </c>
      <c r="F87" s="37">
        <f>AVERAGE(EM_v4_s1!E87,EM_v4_s2!E87,EM_v4_s3!E87,EM_v4_s4!E87,EM_v4_s5!E87)</f>
        <v>19.88</v>
      </c>
      <c r="G87" s="37">
        <f t="shared" si="1"/>
        <v>1.4</v>
      </c>
      <c r="H87" s="38">
        <f>MIN(EM_v4_s1!D87,EM_v4_s2!D87,EM_v4_s3!D87,EM_v4_s4!D87,EM_v4_s5!D87)</f>
        <v>978</v>
      </c>
      <c r="I87" s="37">
        <f t="shared" si="2"/>
        <v>0.3058103976</v>
      </c>
    </row>
    <row r="88" hidden="1">
      <c r="A88" s="6" t="s">
        <v>80</v>
      </c>
      <c r="B88" s="6" t="s">
        <v>45</v>
      </c>
      <c r="C88" s="6" t="str">
        <f>VLOOKUP(A88, 'Indicadores instancias'!$A$1:$I$111, 3, FALSE)</f>
        <v>Grande</v>
      </c>
      <c r="D88" s="38">
        <f>MAX(EM_v4_s1!D88,EM_v4_s2!D88,EM_v4_s3!D88,EM_v4_s4!D88,EM_v4_s5!D88)</f>
        <v>965</v>
      </c>
      <c r="E88" s="37">
        <f>AVERAGE(EM_v4_s1!D88,EM_v4_s2!D88,EM_v4_s3!D88,EM_v4_s4!D88,EM_v4_s5!D88)</f>
        <v>962.2</v>
      </c>
      <c r="F88" s="37">
        <f>AVERAGE(EM_v4_s1!E88,EM_v4_s2!E88,EM_v4_s3!E88,EM_v4_s4!E88,EM_v4_s5!E88)</f>
        <v>20.26</v>
      </c>
      <c r="G88" s="37">
        <f t="shared" si="1"/>
        <v>2.8</v>
      </c>
      <c r="H88" s="38">
        <f>MIN(EM_v4_s1!D88,EM_v4_s2!D88,EM_v4_s3!D88,EM_v4_s4!D88,EM_v4_s5!D88)</f>
        <v>959</v>
      </c>
      <c r="I88" s="37">
        <f t="shared" si="2"/>
        <v>0.621761658</v>
      </c>
    </row>
    <row r="89" hidden="1">
      <c r="A89" s="6" t="s">
        <v>151</v>
      </c>
      <c r="B89" s="6" t="s">
        <v>45</v>
      </c>
      <c r="C89" s="6" t="str">
        <f>VLOOKUP(A89, 'Indicadores instancias'!$A$1:$I$111, 3, FALSE)</f>
        <v>Grande</v>
      </c>
      <c r="D89" s="38">
        <f>MAX(EM_v4_s1!D89,EM_v4_s2!D89,EM_v4_s3!D89,EM_v4_s4!D89,EM_v4_s5!D89)</f>
        <v>946</v>
      </c>
      <c r="E89" s="37">
        <f>AVERAGE(EM_v4_s1!D89,EM_v4_s2!D89,EM_v4_s3!D89,EM_v4_s4!D89,EM_v4_s5!D89)</f>
        <v>944.4</v>
      </c>
      <c r="F89" s="37">
        <f>AVERAGE(EM_v4_s1!E89,EM_v4_s2!E89,EM_v4_s3!E89,EM_v4_s4!E89,EM_v4_s5!E89)</f>
        <v>20.34</v>
      </c>
      <c r="G89" s="37">
        <f t="shared" si="1"/>
        <v>1.6</v>
      </c>
      <c r="H89" s="38">
        <f>MIN(EM_v4_s1!D89,EM_v4_s2!D89,EM_v4_s3!D89,EM_v4_s4!D89,EM_v4_s5!D89)</f>
        <v>943</v>
      </c>
      <c r="I89" s="37">
        <f t="shared" si="2"/>
        <v>0.3171247357</v>
      </c>
    </row>
    <row r="90" hidden="1">
      <c r="A90" s="6" t="s">
        <v>118</v>
      </c>
      <c r="B90" s="6" t="s">
        <v>45</v>
      </c>
      <c r="C90" s="6" t="str">
        <f>VLOOKUP(A90, 'Indicadores instancias'!$A$1:$I$111, 3, FALSE)</f>
        <v>Grande</v>
      </c>
      <c r="D90" s="38">
        <f>MAX(EM_v4_s1!D90,EM_v4_s2!D90,EM_v4_s3!D90,EM_v4_s4!D90,EM_v4_s5!D90)</f>
        <v>1002</v>
      </c>
      <c r="E90" s="37">
        <f>AVERAGE(EM_v4_s1!D90,EM_v4_s2!D90,EM_v4_s3!D90,EM_v4_s4!D90,EM_v4_s5!D90)</f>
        <v>1000.2</v>
      </c>
      <c r="F90" s="37">
        <f>AVERAGE(EM_v4_s1!E90,EM_v4_s2!E90,EM_v4_s3!E90,EM_v4_s4!E90,EM_v4_s5!E90)</f>
        <v>20.04</v>
      </c>
      <c r="G90" s="37">
        <f t="shared" si="1"/>
        <v>1.8</v>
      </c>
      <c r="H90" s="38">
        <f>MIN(EM_v4_s1!D90,EM_v4_s2!D90,EM_v4_s3!D90,EM_v4_s4!D90,EM_v4_s5!D90)</f>
        <v>999</v>
      </c>
      <c r="I90" s="37">
        <f t="shared" si="2"/>
        <v>0.2994011976</v>
      </c>
    </row>
    <row r="91" hidden="1">
      <c r="A91" s="6" t="s">
        <v>152</v>
      </c>
      <c r="B91" s="6" t="s">
        <v>45</v>
      </c>
      <c r="C91" s="6" t="str">
        <f>VLOOKUP(A91, 'Indicadores instancias'!$A$1:$I$111, 3, FALSE)</f>
        <v>Grande</v>
      </c>
      <c r="D91" s="38">
        <f>MAX(EM_v4_s1!D91,EM_v4_s2!D91,EM_v4_s3!D91,EM_v4_s4!D91,EM_v4_s5!D91)</f>
        <v>956</v>
      </c>
      <c r="E91" s="37">
        <f>AVERAGE(EM_v4_s1!D91,EM_v4_s2!D91,EM_v4_s3!D91,EM_v4_s4!D91,EM_v4_s5!D91)</f>
        <v>953.8</v>
      </c>
      <c r="F91" s="37">
        <f>AVERAGE(EM_v4_s1!E91,EM_v4_s2!E91,EM_v4_s3!E91,EM_v4_s4!E91,EM_v4_s5!E91)</f>
        <v>20.02</v>
      </c>
      <c r="G91" s="37">
        <f t="shared" si="1"/>
        <v>2.2</v>
      </c>
      <c r="H91" s="38">
        <f>MIN(EM_v4_s1!D91,EM_v4_s2!D91,EM_v4_s3!D91,EM_v4_s4!D91,EM_v4_s5!D91)</f>
        <v>953</v>
      </c>
      <c r="I91" s="37">
        <f t="shared" si="2"/>
        <v>0.3138075314</v>
      </c>
    </row>
    <row r="92" hidden="1">
      <c r="A92" s="6" t="s">
        <v>99</v>
      </c>
      <c r="B92" s="6" t="s">
        <v>45</v>
      </c>
      <c r="C92" s="6" t="str">
        <f>VLOOKUP(A92, 'Indicadores instancias'!$A$1:$I$111, 3, FALSE)</f>
        <v>Grande</v>
      </c>
      <c r="D92" s="38">
        <f>MAX(EM_v4_s1!D92,EM_v4_s2!D92,EM_v4_s3!D92,EM_v4_s4!D92,EM_v4_s5!D92)</f>
        <v>1237</v>
      </c>
      <c r="E92" s="37">
        <f>AVERAGE(EM_v4_s1!D92,EM_v4_s2!D92,EM_v4_s3!D92,EM_v4_s4!D92,EM_v4_s5!D92)</f>
        <v>1235.8</v>
      </c>
      <c r="F92" s="37">
        <f>AVERAGE(EM_v4_s1!E92,EM_v4_s2!E92,EM_v4_s3!E92,EM_v4_s4!E92,EM_v4_s5!E92)</f>
        <v>37.28</v>
      </c>
      <c r="G92" s="37">
        <f t="shared" si="1"/>
        <v>1.2</v>
      </c>
      <c r="H92" s="38">
        <f>MIN(EM_v4_s1!D92,EM_v4_s2!D92,EM_v4_s3!D92,EM_v4_s4!D92,EM_v4_s5!D92)</f>
        <v>1234</v>
      </c>
      <c r="I92" s="37">
        <f t="shared" si="2"/>
        <v>0.2425222312</v>
      </c>
    </row>
    <row r="93" hidden="1">
      <c r="A93" s="6" t="s">
        <v>149</v>
      </c>
      <c r="B93" s="6" t="s">
        <v>45</v>
      </c>
      <c r="C93" s="6" t="str">
        <f>VLOOKUP(A93, 'Indicadores instancias'!$A$1:$I$111, 3, FALSE)</f>
        <v>Grande</v>
      </c>
      <c r="D93" s="38">
        <f>MAX(EM_v4_s1!D93,EM_v4_s2!D93,EM_v4_s3!D93,EM_v4_s4!D93,EM_v4_s5!D93)</f>
        <v>1221</v>
      </c>
      <c r="E93" s="37">
        <f>AVERAGE(EM_v4_s1!D93,EM_v4_s2!D93,EM_v4_s3!D93,EM_v4_s4!D93,EM_v4_s5!D93)</f>
        <v>1215.2</v>
      </c>
      <c r="F93" s="37">
        <f>AVERAGE(EM_v4_s1!E93,EM_v4_s2!E93,EM_v4_s3!E93,EM_v4_s4!E93,EM_v4_s5!E93)</f>
        <v>37.32</v>
      </c>
      <c r="G93" s="37">
        <f t="shared" si="1"/>
        <v>5.8</v>
      </c>
      <c r="H93" s="38">
        <f>MIN(EM_v4_s1!D93,EM_v4_s2!D93,EM_v4_s3!D93,EM_v4_s4!D93,EM_v4_s5!D93)</f>
        <v>1212</v>
      </c>
      <c r="I93" s="37">
        <f t="shared" si="2"/>
        <v>0.7371007371</v>
      </c>
    </row>
    <row r="94" hidden="1">
      <c r="A94" s="6" t="s">
        <v>139</v>
      </c>
      <c r="B94" s="6" t="s">
        <v>45</v>
      </c>
      <c r="C94" s="6" t="str">
        <f>VLOOKUP(A94, 'Indicadores instancias'!$A$1:$I$111, 3, FALSE)</f>
        <v>Grande</v>
      </c>
      <c r="D94" s="38">
        <f>MAX(EM_v4_s1!D94,EM_v4_s2!D94,EM_v4_s3!D94,EM_v4_s4!D94,EM_v4_s5!D94)</f>
        <v>1224</v>
      </c>
      <c r="E94" s="37">
        <f>AVERAGE(EM_v4_s1!D94,EM_v4_s2!D94,EM_v4_s3!D94,EM_v4_s4!D94,EM_v4_s5!D94)</f>
        <v>1222.4</v>
      </c>
      <c r="F94" s="37">
        <f>AVERAGE(EM_v4_s1!E94,EM_v4_s2!E94,EM_v4_s3!E94,EM_v4_s4!E94,EM_v4_s5!E94)</f>
        <v>37.74</v>
      </c>
      <c r="G94" s="37">
        <f t="shared" si="1"/>
        <v>1.6</v>
      </c>
      <c r="H94" s="38">
        <f>MIN(EM_v4_s1!D94,EM_v4_s2!D94,EM_v4_s3!D94,EM_v4_s4!D94,EM_v4_s5!D94)</f>
        <v>1220</v>
      </c>
      <c r="I94" s="37">
        <f t="shared" si="2"/>
        <v>0.3267973856</v>
      </c>
    </row>
    <row r="95" hidden="1">
      <c r="A95" s="6" t="s">
        <v>113</v>
      </c>
      <c r="B95" s="6" t="s">
        <v>45</v>
      </c>
      <c r="C95" s="6" t="str">
        <f>VLOOKUP(A95, 'Indicadores instancias'!$A$1:$I$111, 3, FALSE)</f>
        <v>Grande</v>
      </c>
      <c r="D95" s="38">
        <f>MAX(EM_v4_s1!D95,EM_v4_s2!D95,EM_v4_s3!D95,EM_v4_s4!D95,EM_v4_s5!D95)</f>
        <v>1248</v>
      </c>
      <c r="E95" s="37">
        <f>AVERAGE(EM_v4_s1!D95,EM_v4_s2!D95,EM_v4_s3!D95,EM_v4_s4!D95,EM_v4_s5!D95)</f>
        <v>1244</v>
      </c>
      <c r="F95" s="37">
        <f>AVERAGE(EM_v4_s1!E95,EM_v4_s2!E95,EM_v4_s3!E95,EM_v4_s4!E95,EM_v4_s5!E95)</f>
        <v>37.22</v>
      </c>
      <c r="G95" s="37">
        <f t="shared" si="1"/>
        <v>4</v>
      </c>
      <c r="H95" s="38">
        <f>MIN(EM_v4_s1!D95,EM_v4_s2!D95,EM_v4_s3!D95,EM_v4_s4!D95,EM_v4_s5!D95)</f>
        <v>1241</v>
      </c>
      <c r="I95" s="37">
        <f t="shared" si="2"/>
        <v>0.5608974359</v>
      </c>
    </row>
    <row r="96" hidden="1">
      <c r="A96" s="6" t="s">
        <v>138</v>
      </c>
      <c r="B96" s="6" t="s">
        <v>45</v>
      </c>
      <c r="C96" s="6" t="str">
        <f>VLOOKUP(A96, 'Indicadores instancias'!$A$1:$I$111, 3, FALSE)</f>
        <v>Grande</v>
      </c>
      <c r="D96" s="38">
        <f>MAX(EM_v4_s1!D96,EM_v4_s2!D96,EM_v4_s3!D96,EM_v4_s4!D96,EM_v4_s5!D96)</f>
        <v>1256</v>
      </c>
      <c r="E96" s="37">
        <f>AVERAGE(EM_v4_s1!D96,EM_v4_s2!D96,EM_v4_s3!D96,EM_v4_s4!D96,EM_v4_s5!D96)</f>
        <v>1254.4</v>
      </c>
      <c r="F96" s="37">
        <f>AVERAGE(EM_v4_s1!E96,EM_v4_s2!E96,EM_v4_s3!E96,EM_v4_s4!E96,EM_v4_s5!E96)</f>
        <v>37.38</v>
      </c>
      <c r="G96" s="37">
        <f t="shared" si="1"/>
        <v>1.6</v>
      </c>
      <c r="H96" s="38">
        <f>MIN(EM_v4_s1!D96,EM_v4_s2!D96,EM_v4_s3!D96,EM_v4_s4!D96,EM_v4_s5!D96)</f>
        <v>1253</v>
      </c>
      <c r="I96" s="37">
        <f t="shared" si="2"/>
        <v>0.2388535032</v>
      </c>
    </row>
    <row r="97" hidden="1">
      <c r="A97" s="6" t="s">
        <v>82</v>
      </c>
      <c r="B97" s="6" t="s">
        <v>45</v>
      </c>
      <c r="C97" s="6" t="str">
        <f>VLOOKUP(A97, 'Indicadores instancias'!$A$1:$I$111, 3, FALSE)</f>
        <v>Grande</v>
      </c>
      <c r="D97" s="38">
        <f>MAX(EM_v4_s1!D97,EM_v4_s2!D97,EM_v4_s3!D97,EM_v4_s4!D97,EM_v4_s5!D97)</f>
        <v>1483</v>
      </c>
      <c r="E97" s="37">
        <f>AVERAGE(EM_v4_s1!D97,EM_v4_s2!D97,EM_v4_s3!D97,EM_v4_s4!D97,EM_v4_s5!D97)</f>
        <v>1480.6</v>
      </c>
      <c r="F97" s="37">
        <f>AVERAGE(EM_v4_s1!E97,EM_v4_s2!E97,EM_v4_s3!E97,EM_v4_s4!E97,EM_v4_s5!E97)</f>
        <v>61.64</v>
      </c>
      <c r="G97" s="37">
        <f t="shared" si="1"/>
        <v>2.4</v>
      </c>
      <c r="H97" s="38">
        <f>MIN(EM_v4_s1!D97,EM_v4_s2!D97,EM_v4_s3!D97,EM_v4_s4!D97,EM_v4_s5!D97)</f>
        <v>1478</v>
      </c>
      <c r="I97" s="37">
        <f t="shared" si="2"/>
        <v>0.3371544167</v>
      </c>
    </row>
    <row r="98" hidden="1">
      <c r="A98" s="6" t="s">
        <v>142</v>
      </c>
      <c r="B98" s="6" t="s">
        <v>45</v>
      </c>
      <c r="C98" s="6" t="str">
        <f>VLOOKUP(A98, 'Indicadores instancias'!$A$1:$I$111, 3, FALSE)</f>
        <v>Grande</v>
      </c>
      <c r="D98" s="38">
        <f>MAX(EM_v4_s1!D98,EM_v4_s2!D98,EM_v4_s3!D98,EM_v4_s4!D98,EM_v4_s5!D98)</f>
        <v>1497</v>
      </c>
      <c r="E98" s="37">
        <f>AVERAGE(EM_v4_s1!D98,EM_v4_s2!D98,EM_v4_s3!D98,EM_v4_s4!D98,EM_v4_s5!D98)</f>
        <v>1488.2</v>
      </c>
      <c r="F98" s="37">
        <f>AVERAGE(EM_v4_s1!E98,EM_v4_s2!E98,EM_v4_s3!E98,EM_v4_s4!E98,EM_v4_s5!E98)</f>
        <v>60.58</v>
      </c>
      <c r="G98" s="37">
        <f t="shared" si="1"/>
        <v>8.8</v>
      </c>
      <c r="H98" s="38">
        <f>MIN(EM_v4_s1!D98,EM_v4_s2!D98,EM_v4_s3!D98,EM_v4_s4!D98,EM_v4_s5!D98)</f>
        <v>1475</v>
      </c>
      <c r="I98" s="37">
        <f t="shared" si="2"/>
        <v>1.469605878</v>
      </c>
    </row>
    <row r="99" hidden="1">
      <c r="A99" s="6" t="s">
        <v>57</v>
      </c>
      <c r="B99" s="6" t="s">
        <v>45</v>
      </c>
      <c r="C99" s="6" t="str">
        <f>VLOOKUP(A99, 'Indicadores instancias'!$A$1:$I$111, 3, FALSE)</f>
        <v>Grande</v>
      </c>
      <c r="D99" s="38">
        <f>MAX(EM_v4_s1!D99,EM_v4_s2!D99,EM_v4_s3!D99,EM_v4_s4!D99,EM_v4_s5!D99)</f>
        <v>1502</v>
      </c>
      <c r="E99" s="37">
        <f>AVERAGE(EM_v4_s1!D99,EM_v4_s2!D99,EM_v4_s3!D99,EM_v4_s4!D99,EM_v4_s5!D99)</f>
        <v>1495</v>
      </c>
      <c r="F99" s="37">
        <f>AVERAGE(EM_v4_s1!E99,EM_v4_s2!E99,EM_v4_s3!E99,EM_v4_s4!E99,EM_v4_s5!E99)</f>
        <v>63.58</v>
      </c>
      <c r="G99" s="37">
        <f t="shared" si="1"/>
        <v>7</v>
      </c>
      <c r="H99" s="38">
        <f>MIN(EM_v4_s1!D99,EM_v4_s2!D99,EM_v4_s3!D99,EM_v4_s4!D99,EM_v4_s5!D99)</f>
        <v>1489</v>
      </c>
      <c r="I99" s="37">
        <f t="shared" si="2"/>
        <v>0.8655126498</v>
      </c>
    </row>
    <row r="100" hidden="1">
      <c r="A100" s="6" t="s">
        <v>48</v>
      </c>
      <c r="B100" s="6" t="s">
        <v>45</v>
      </c>
      <c r="C100" s="6" t="str">
        <f>VLOOKUP(A100, 'Indicadores instancias'!$A$1:$I$111, 3, FALSE)</f>
        <v>Grande</v>
      </c>
      <c r="D100" s="38">
        <f>MAX(EM_v4_s1!D100,EM_v4_s2!D100,EM_v4_s3!D100,EM_v4_s4!D100,EM_v4_s5!D100)</f>
        <v>1483</v>
      </c>
      <c r="E100" s="37">
        <f>AVERAGE(EM_v4_s1!D100,EM_v4_s2!D100,EM_v4_s3!D100,EM_v4_s4!D100,EM_v4_s5!D100)</f>
        <v>1465.4</v>
      </c>
      <c r="F100" s="37">
        <f>AVERAGE(EM_v4_s1!E100,EM_v4_s2!E100,EM_v4_s3!E100,EM_v4_s4!E100,EM_v4_s5!E100)</f>
        <v>61.08</v>
      </c>
      <c r="G100" s="37">
        <f t="shared" si="1"/>
        <v>17.6</v>
      </c>
      <c r="H100" s="38">
        <f>MIN(EM_v4_s1!D100,EM_v4_s2!D100,EM_v4_s3!D100,EM_v4_s4!D100,EM_v4_s5!D100)</f>
        <v>1436</v>
      </c>
      <c r="I100" s="37">
        <f t="shared" si="2"/>
        <v>3.169251517</v>
      </c>
    </row>
    <row r="101" hidden="1">
      <c r="A101" s="6" t="s">
        <v>78</v>
      </c>
      <c r="B101" s="6" t="s">
        <v>45</v>
      </c>
      <c r="C101" s="6" t="str">
        <f>VLOOKUP(A101, 'Indicadores instancias'!$A$1:$I$111, 3, FALSE)</f>
        <v>Grande</v>
      </c>
      <c r="D101" s="38">
        <f>MAX(EM_v4_s1!D101,EM_v4_s2!D101,EM_v4_s3!D101,EM_v4_s4!D101,EM_v4_s5!D101)</f>
        <v>1498</v>
      </c>
      <c r="E101" s="37">
        <f>AVERAGE(EM_v4_s1!D101,EM_v4_s2!D101,EM_v4_s3!D101,EM_v4_s4!D101,EM_v4_s5!D101)</f>
        <v>1494.4</v>
      </c>
      <c r="F101" s="37">
        <f>AVERAGE(EM_v4_s1!E101,EM_v4_s2!E101,EM_v4_s3!E101,EM_v4_s4!E101,EM_v4_s5!E101)</f>
        <v>61.64</v>
      </c>
      <c r="G101" s="37">
        <f t="shared" si="1"/>
        <v>3.6</v>
      </c>
      <c r="H101" s="38">
        <f>MIN(EM_v4_s1!D101,EM_v4_s2!D101,EM_v4_s3!D101,EM_v4_s4!D101,EM_v4_s5!D101)</f>
        <v>1490</v>
      </c>
      <c r="I101" s="37">
        <f t="shared" si="2"/>
        <v>0.5340453939</v>
      </c>
    </row>
    <row r="102" hidden="1">
      <c r="A102" s="6" t="s">
        <v>90</v>
      </c>
      <c r="B102" s="6" t="s">
        <v>45</v>
      </c>
      <c r="C102" s="6" t="str">
        <f>VLOOKUP(A102, 'Indicadores instancias'!$A$1:$I$111, 3, FALSE)</f>
        <v>Grande</v>
      </c>
      <c r="D102" s="38">
        <f>MAX(EM_v4_s1!D102,EM_v4_s2!D102,EM_v4_s3!D102,EM_v4_s4!D102,EM_v4_s5!D102)</f>
        <v>2132</v>
      </c>
      <c r="E102" s="37">
        <f>AVERAGE(EM_v4_s1!D102,EM_v4_s2!D102,EM_v4_s3!D102,EM_v4_s4!D102,EM_v4_s5!D102)</f>
        <v>2123.6</v>
      </c>
      <c r="F102" s="37">
        <f>AVERAGE(EM_v4_s1!E102,EM_v4_s2!E102,EM_v4_s3!E102,EM_v4_s4!E102,EM_v4_s5!E102)</f>
        <v>147.52</v>
      </c>
      <c r="G102" s="37">
        <f t="shared" si="1"/>
        <v>8.4</v>
      </c>
      <c r="H102" s="38">
        <f>MIN(EM_v4_s1!D102,EM_v4_s2!D102,EM_v4_s3!D102,EM_v4_s4!D102,EM_v4_s5!D102)</f>
        <v>2115</v>
      </c>
      <c r="I102" s="37">
        <f t="shared" si="2"/>
        <v>0.7973733583</v>
      </c>
    </row>
    <row r="103" hidden="1">
      <c r="A103" s="39" t="s">
        <v>127</v>
      </c>
      <c r="B103" s="39" t="s">
        <v>45</v>
      </c>
      <c r="C103" s="39" t="str">
        <f>VLOOKUP(A103, 'Indicadores instancias'!$A$1:$I$111, 3, FALSE)</f>
        <v>Grande</v>
      </c>
      <c r="D103" s="40">
        <f>MAX(EM_v4_s1!D103,EM_v4_s2!D103,EM_v4_s3!D103,EM_v4_s4!D103,EM_v4_s5!D103)</f>
        <v>2134</v>
      </c>
      <c r="E103" s="41">
        <f>AVERAGE(EM_v4_s1!D103,EM_v4_s2!D103,EM_v4_s3!D103,EM_v4_s4!D103,EM_v4_s5!D103)</f>
        <v>2087.8</v>
      </c>
      <c r="F103" s="41">
        <f>AVERAGE(EM_v4_s1!E103,EM_v4_s2!E103,EM_v4_s3!E103,EM_v4_s4!E103,EM_v4_s5!E103)</f>
        <v>146.54</v>
      </c>
      <c r="G103" s="41">
        <f t="shared" si="1"/>
        <v>46.2</v>
      </c>
      <c r="H103" s="40">
        <f>MIN(EM_v4_s1!D103,EM_v4_s2!D103,EM_v4_s3!D103,EM_v4_s4!D103,EM_v4_s5!D103)</f>
        <v>1934</v>
      </c>
      <c r="I103" s="41">
        <f t="shared" si="2"/>
        <v>9.372071228</v>
      </c>
    </row>
    <row r="104" hidden="1">
      <c r="A104" s="6" t="s">
        <v>81</v>
      </c>
      <c r="B104" s="6" t="s">
        <v>45</v>
      </c>
      <c r="C104" s="6" t="str">
        <f>VLOOKUP(A104, 'Indicadores instancias'!$A$1:$I$111, 3, FALSE)</f>
        <v>Grande</v>
      </c>
      <c r="D104" s="38">
        <f>MAX(EM_v4_s1!D104,EM_v4_s2!D104,EM_v4_s3!D104,EM_v4_s4!D104,EM_v4_s5!D104)</f>
        <v>2159</v>
      </c>
      <c r="E104" s="37">
        <f>AVERAGE(EM_v4_s1!D104,EM_v4_s2!D104,EM_v4_s3!D104,EM_v4_s4!D104,EM_v4_s5!D104)</f>
        <v>2114.2</v>
      </c>
      <c r="F104" s="37">
        <f>AVERAGE(EM_v4_s1!E104,EM_v4_s2!E104,EM_v4_s3!E104,EM_v4_s4!E104,EM_v4_s5!E104)</f>
        <v>145.84</v>
      </c>
      <c r="G104" s="37">
        <f t="shared" si="1"/>
        <v>44.8</v>
      </c>
      <c r="H104" s="38">
        <f>MIN(EM_v4_s1!D104,EM_v4_s2!D104,EM_v4_s3!D104,EM_v4_s4!D104,EM_v4_s5!D104)</f>
        <v>1985</v>
      </c>
      <c r="I104" s="37">
        <f t="shared" si="2"/>
        <v>8.059286707</v>
      </c>
    </row>
    <row r="105" hidden="1">
      <c r="A105" s="6" t="s">
        <v>154</v>
      </c>
      <c r="B105" s="6" t="s">
        <v>45</v>
      </c>
      <c r="C105" s="6" t="str">
        <f>VLOOKUP(A105, 'Indicadores instancias'!$A$1:$I$111, 3, FALSE)</f>
        <v>Grande</v>
      </c>
      <c r="D105" s="38">
        <f>MAX(EM_v4_s1!D105,EM_v4_s2!D105,EM_v4_s3!D105,EM_v4_s4!D105,EM_v4_s5!D105)</f>
        <v>2153</v>
      </c>
      <c r="E105" s="37">
        <f>AVERAGE(EM_v4_s1!D105,EM_v4_s2!D105,EM_v4_s3!D105,EM_v4_s4!D105,EM_v4_s5!D105)</f>
        <v>2143.8</v>
      </c>
      <c r="F105" s="37">
        <f>AVERAGE(EM_v4_s1!E105,EM_v4_s2!E105,EM_v4_s3!E105,EM_v4_s4!E105,EM_v4_s5!E105)</f>
        <v>145.5</v>
      </c>
      <c r="G105" s="37">
        <f t="shared" si="1"/>
        <v>9.2</v>
      </c>
      <c r="H105" s="38">
        <f>MIN(EM_v4_s1!D105,EM_v4_s2!D105,EM_v4_s3!D105,EM_v4_s4!D105,EM_v4_s5!D105)</f>
        <v>2138</v>
      </c>
      <c r="I105" s="37">
        <f t="shared" si="2"/>
        <v>0.6967022759</v>
      </c>
    </row>
    <row r="106" hidden="1">
      <c r="A106" s="6" t="s">
        <v>129</v>
      </c>
      <c r="B106" s="6" t="s">
        <v>45</v>
      </c>
      <c r="C106" s="6" t="str">
        <f>VLOOKUP(A106, 'Indicadores instancias'!$A$1:$I$111, 3, FALSE)</f>
        <v>Grande</v>
      </c>
      <c r="D106" s="38">
        <f>MAX(EM_v4_s1!D106,EM_v4_s2!D106,EM_v4_s3!D106,EM_v4_s4!D106,EM_v4_s5!D106)</f>
        <v>2131</v>
      </c>
      <c r="E106" s="37">
        <f>AVERAGE(EM_v4_s1!D106,EM_v4_s2!D106,EM_v4_s3!D106,EM_v4_s4!D106,EM_v4_s5!D106)</f>
        <v>2123.6</v>
      </c>
      <c r="F106" s="37">
        <f>AVERAGE(EM_v4_s1!E106,EM_v4_s2!E106,EM_v4_s3!E106,EM_v4_s4!E106,EM_v4_s5!E106)</f>
        <v>147.34</v>
      </c>
      <c r="G106" s="37">
        <f t="shared" si="1"/>
        <v>7.4</v>
      </c>
      <c r="H106" s="38">
        <f>MIN(EM_v4_s1!D106,EM_v4_s2!D106,EM_v4_s3!D106,EM_v4_s4!D106,EM_v4_s5!D106)</f>
        <v>2120</v>
      </c>
      <c r="I106" s="37">
        <f t="shared" si="2"/>
        <v>0.5161895824</v>
      </c>
    </row>
    <row r="107" hidden="1">
      <c r="A107" s="39" t="s">
        <v>83</v>
      </c>
      <c r="B107" s="39" t="s">
        <v>45</v>
      </c>
      <c r="C107" s="39" t="str">
        <f>VLOOKUP(A107, 'Indicadores instancias'!$A$1:$I$111, 3, FALSE)</f>
        <v>Grande</v>
      </c>
      <c r="D107" s="40">
        <f>MAX(EM_v4_s1!D107,EM_v4_s2!D107,EM_v4_s3!D107,EM_v4_s4!D107,EM_v4_s5!D107)</f>
        <v>2712</v>
      </c>
      <c r="E107" s="41">
        <f>AVERAGE(EM_v4_s1!D107,EM_v4_s2!D107,EM_v4_s3!D107,EM_v4_s4!D107,EM_v4_s5!D107)</f>
        <v>2590.4</v>
      </c>
      <c r="F107" s="41">
        <f>AVERAGE(EM_v4_s1!E107,EM_v4_s2!E107,EM_v4_s3!E107,EM_v4_s4!E107,EM_v4_s5!E107)</f>
        <v>275.12</v>
      </c>
      <c r="G107" s="41">
        <f t="shared" si="1"/>
        <v>121.6</v>
      </c>
      <c r="H107" s="40">
        <f>MIN(EM_v4_s1!D107,EM_v4_s2!D107,EM_v4_s3!D107,EM_v4_s4!D107,EM_v4_s5!D107)</f>
        <v>2468</v>
      </c>
      <c r="I107" s="41">
        <f t="shared" si="2"/>
        <v>8.997050147</v>
      </c>
    </row>
    <row r="108" hidden="1">
      <c r="A108" s="6" t="s">
        <v>144</v>
      </c>
      <c r="B108" s="6" t="s">
        <v>45</v>
      </c>
      <c r="C108" s="6" t="str">
        <f>VLOOKUP(A108, 'Indicadores instancias'!$A$1:$I$111, 3, FALSE)</f>
        <v>Grande</v>
      </c>
      <c r="D108" s="38">
        <f>MAX(EM_v4_s1!D108,EM_v4_s2!D108,EM_v4_s3!D108,EM_v4_s4!D108,EM_v4_s5!D108)</f>
        <v>2750</v>
      </c>
      <c r="E108" s="37">
        <f>AVERAGE(EM_v4_s1!D108,EM_v4_s2!D108,EM_v4_s3!D108,EM_v4_s4!D108,EM_v4_s5!D108)</f>
        <v>2733.2</v>
      </c>
      <c r="F108" s="37">
        <f>AVERAGE(EM_v4_s1!E108,EM_v4_s2!E108,EM_v4_s3!E108,EM_v4_s4!E108,EM_v4_s5!E108)</f>
        <v>273.96</v>
      </c>
      <c r="G108" s="37">
        <f t="shared" si="1"/>
        <v>16.8</v>
      </c>
      <c r="H108" s="38">
        <f>MIN(EM_v4_s1!D108,EM_v4_s2!D108,EM_v4_s3!D108,EM_v4_s4!D108,EM_v4_s5!D108)</f>
        <v>2720</v>
      </c>
      <c r="I108" s="37">
        <f t="shared" si="2"/>
        <v>1.090909091</v>
      </c>
    </row>
    <row r="109" hidden="1">
      <c r="A109" s="6" t="s">
        <v>63</v>
      </c>
      <c r="B109" s="6" t="s">
        <v>45</v>
      </c>
      <c r="C109" s="6" t="str">
        <f>VLOOKUP(A109, 'Indicadores instancias'!$A$1:$I$111, 3, FALSE)</f>
        <v>Grande</v>
      </c>
      <c r="D109" s="38">
        <f>MAX(EM_v4_s1!D109,EM_v4_s2!D109,EM_v4_s3!D109,EM_v4_s4!D109,EM_v4_s5!D109)</f>
        <v>2715</v>
      </c>
      <c r="E109" s="37">
        <f>AVERAGE(EM_v4_s1!D109,EM_v4_s2!D109,EM_v4_s3!D109,EM_v4_s4!D109,EM_v4_s5!D109)</f>
        <v>2678</v>
      </c>
      <c r="F109" s="37">
        <f>AVERAGE(EM_v4_s1!E109,EM_v4_s2!E109,EM_v4_s3!E109,EM_v4_s4!E109,EM_v4_s5!E109)</f>
        <v>280.2</v>
      </c>
      <c r="G109" s="37">
        <f t="shared" si="1"/>
        <v>37</v>
      </c>
      <c r="H109" s="38">
        <f>MIN(EM_v4_s1!D109,EM_v4_s2!D109,EM_v4_s3!D109,EM_v4_s4!D109,EM_v4_s5!D109)</f>
        <v>2629</v>
      </c>
      <c r="I109" s="37">
        <f t="shared" si="2"/>
        <v>3.167587477</v>
      </c>
    </row>
    <row r="110" hidden="1">
      <c r="A110" s="39" t="s">
        <v>79</v>
      </c>
      <c r="B110" s="39" t="s">
        <v>45</v>
      </c>
      <c r="C110" s="39" t="str">
        <f>VLOOKUP(A110, 'Indicadores instancias'!$A$1:$I$111, 3, FALSE)</f>
        <v>Grande</v>
      </c>
      <c r="D110" s="40">
        <f>MAX(EM_v4_s1!D110,EM_v4_s2!D110,EM_v4_s3!D110,EM_v4_s4!D110,EM_v4_s5!D110)</f>
        <v>2725</v>
      </c>
      <c r="E110" s="41">
        <f>AVERAGE(EM_v4_s1!D110,EM_v4_s2!D110,EM_v4_s3!D110,EM_v4_s4!D110,EM_v4_s5!D110)</f>
        <v>2662.2</v>
      </c>
      <c r="F110" s="41">
        <f>AVERAGE(EM_v4_s1!E110,EM_v4_s2!E110,EM_v4_s3!E110,EM_v4_s4!E110,EM_v4_s5!E110)</f>
        <v>277.66</v>
      </c>
      <c r="G110" s="41">
        <f t="shared" si="1"/>
        <v>62.8</v>
      </c>
      <c r="H110" s="40">
        <f>MIN(EM_v4_s1!D110,EM_v4_s2!D110,EM_v4_s3!D110,EM_v4_s4!D110,EM_v4_s5!D110)</f>
        <v>2439</v>
      </c>
      <c r="I110" s="41">
        <f t="shared" si="2"/>
        <v>10.49541284</v>
      </c>
    </row>
    <row r="111" hidden="1">
      <c r="A111" s="6" t="s">
        <v>64</v>
      </c>
      <c r="B111" s="6" t="s">
        <v>45</v>
      </c>
      <c r="C111" s="6" t="str">
        <f>VLOOKUP(A111, 'Indicadores instancias'!$A$1:$I$111, 3, FALSE)</f>
        <v>Grande</v>
      </c>
      <c r="D111" s="38">
        <f>MAX(EM_v4_s1!D111,EM_v4_s2!D111,EM_v4_s3!D111,EM_v4_s4!D111,EM_v4_s5!D111)</f>
        <v>2722</v>
      </c>
      <c r="E111" s="37">
        <f>AVERAGE(EM_v4_s1!D111,EM_v4_s2!D111,EM_v4_s3!D111,EM_v4_s4!D111,EM_v4_s5!D111)</f>
        <v>2693.2</v>
      </c>
      <c r="F111" s="37">
        <f>AVERAGE(EM_v4_s1!E111,EM_v4_s2!E111,EM_v4_s3!E111,EM_v4_s4!E111,EM_v4_s5!E111)</f>
        <v>275.52</v>
      </c>
      <c r="G111" s="37">
        <f t="shared" si="1"/>
        <v>28.8</v>
      </c>
      <c r="H111" s="38">
        <f>MIN(EM_v4_s1!D111,EM_v4_s2!D111,EM_v4_s3!D111,EM_v4_s4!D111,EM_v4_s5!D111)</f>
        <v>2624</v>
      </c>
      <c r="I111" s="37">
        <f t="shared" si="2"/>
        <v>3.600293902</v>
      </c>
    </row>
    <row r="112">
      <c r="E112" s="42"/>
      <c r="F112" s="42"/>
      <c r="I112" s="42"/>
    </row>
    <row r="113">
      <c r="E113" s="42"/>
      <c r="F113" s="42"/>
      <c r="I113" s="42"/>
    </row>
    <row r="114">
      <c r="E114" s="42"/>
      <c r="F114" s="42"/>
      <c r="I114" s="42"/>
    </row>
    <row r="115">
      <c r="E115" s="42"/>
      <c r="F115" s="42"/>
      <c r="I115" s="42"/>
    </row>
    <row r="116">
      <c r="E116" s="42"/>
      <c r="F116" s="42"/>
      <c r="I116" s="42"/>
    </row>
    <row r="117">
      <c r="E117" s="42"/>
      <c r="F117" s="42"/>
      <c r="I117" s="42"/>
    </row>
    <row r="118">
      <c r="E118" s="42"/>
      <c r="F118" s="42"/>
      <c r="I118" s="42"/>
    </row>
    <row r="119">
      <c r="E119" s="42"/>
      <c r="F119" s="42"/>
      <c r="I119" s="42"/>
    </row>
    <row r="120">
      <c r="E120" s="42"/>
      <c r="F120" s="42"/>
      <c r="I120" s="42"/>
    </row>
    <row r="121">
      <c r="E121" s="42"/>
      <c r="F121" s="42"/>
      <c r="I121" s="42"/>
    </row>
    <row r="122">
      <c r="E122" s="42"/>
      <c r="F122" s="42"/>
      <c r="I122" s="42"/>
    </row>
    <row r="123">
      <c r="E123" s="42"/>
      <c r="F123" s="42"/>
      <c r="I123" s="42"/>
    </row>
    <row r="124">
      <c r="E124" s="42"/>
      <c r="F124" s="42"/>
      <c r="I124" s="42"/>
    </row>
    <row r="125">
      <c r="E125" s="42"/>
      <c r="F125" s="42"/>
      <c r="I125" s="42"/>
    </row>
    <row r="126">
      <c r="E126" s="42"/>
      <c r="F126" s="42"/>
      <c r="I126" s="42"/>
    </row>
    <row r="127">
      <c r="E127" s="42"/>
      <c r="F127" s="42"/>
      <c r="I127" s="42"/>
    </row>
    <row r="128">
      <c r="E128" s="42"/>
      <c r="F128" s="42"/>
      <c r="I128" s="42"/>
    </row>
    <row r="129">
      <c r="E129" s="42"/>
      <c r="F129" s="42"/>
      <c r="I129" s="42"/>
    </row>
    <row r="130">
      <c r="E130" s="42"/>
      <c r="F130" s="42"/>
      <c r="I130" s="42"/>
    </row>
    <row r="131">
      <c r="E131" s="42"/>
      <c r="F131" s="42"/>
      <c r="I131" s="42"/>
    </row>
    <row r="132">
      <c r="E132" s="42"/>
      <c r="F132" s="42"/>
      <c r="I132" s="42"/>
    </row>
    <row r="133">
      <c r="E133" s="42"/>
      <c r="F133" s="42"/>
      <c r="I133" s="42"/>
    </row>
    <row r="134">
      <c r="E134" s="42"/>
      <c r="F134" s="42"/>
      <c r="I134" s="42"/>
    </row>
    <row r="135">
      <c r="E135" s="42"/>
      <c r="F135" s="42"/>
      <c r="I135" s="42"/>
    </row>
    <row r="136">
      <c r="E136" s="42"/>
      <c r="F136" s="42"/>
      <c r="I136" s="42"/>
    </row>
    <row r="137">
      <c r="E137" s="42"/>
      <c r="F137" s="42"/>
      <c r="I137" s="42"/>
    </row>
    <row r="138">
      <c r="E138" s="42"/>
      <c r="F138" s="42"/>
      <c r="I138" s="42"/>
    </row>
    <row r="139">
      <c r="E139" s="42"/>
      <c r="F139" s="42"/>
      <c r="I139" s="42"/>
    </row>
    <row r="140">
      <c r="E140" s="42"/>
      <c r="F140" s="42"/>
      <c r="I140" s="42"/>
    </row>
    <row r="141">
      <c r="E141" s="42"/>
      <c r="F141" s="42"/>
      <c r="I141" s="42"/>
    </row>
    <row r="142">
      <c r="E142" s="42"/>
      <c r="F142" s="42"/>
      <c r="I142" s="42"/>
    </row>
    <row r="143">
      <c r="E143" s="42"/>
      <c r="F143" s="42"/>
      <c r="I143" s="42"/>
    </row>
    <row r="144">
      <c r="E144" s="42"/>
      <c r="F144" s="42"/>
      <c r="I144" s="42"/>
    </row>
    <row r="145">
      <c r="E145" s="42"/>
      <c r="F145" s="42"/>
      <c r="I145" s="42"/>
    </row>
    <row r="146">
      <c r="E146" s="42"/>
      <c r="F146" s="42"/>
      <c r="I146" s="42"/>
    </row>
    <row r="147">
      <c r="E147" s="42"/>
      <c r="F147" s="42"/>
      <c r="I147" s="42"/>
    </row>
    <row r="148">
      <c r="E148" s="42"/>
      <c r="F148" s="42"/>
      <c r="I148" s="42"/>
    </row>
    <row r="149">
      <c r="E149" s="42"/>
      <c r="F149" s="42"/>
      <c r="I149" s="42"/>
    </row>
    <row r="150">
      <c r="E150" s="42"/>
      <c r="F150" s="42"/>
      <c r="I150" s="42"/>
    </row>
    <row r="151">
      <c r="E151" s="42"/>
      <c r="F151" s="42"/>
      <c r="I151" s="42"/>
    </row>
    <row r="152">
      <c r="E152" s="42"/>
      <c r="F152" s="42"/>
      <c r="I152" s="42"/>
    </row>
    <row r="153">
      <c r="E153" s="42"/>
      <c r="F153" s="42"/>
      <c r="I153" s="42"/>
    </row>
    <row r="154">
      <c r="E154" s="42"/>
      <c r="F154" s="42"/>
      <c r="I154" s="42"/>
    </row>
    <row r="155">
      <c r="E155" s="42"/>
      <c r="F155" s="42"/>
      <c r="I155" s="42"/>
    </row>
    <row r="156">
      <c r="E156" s="42"/>
      <c r="F156" s="42"/>
      <c r="I156" s="42"/>
    </row>
    <row r="157">
      <c r="E157" s="42"/>
      <c r="F157" s="42"/>
      <c r="I157" s="42"/>
    </row>
    <row r="158">
      <c r="E158" s="42"/>
      <c r="F158" s="42"/>
      <c r="I158" s="42"/>
    </row>
    <row r="159">
      <c r="E159" s="42"/>
      <c r="F159" s="42"/>
      <c r="I159" s="42"/>
    </row>
    <row r="160">
      <c r="E160" s="42"/>
      <c r="F160" s="42"/>
      <c r="I160" s="42"/>
    </row>
    <row r="161">
      <c r="E161" s="42"/>
      <c r="F161" s="42"/>
      <c r="I161" s="42"/>
    </row>
    <row r="162">
      <c r="E162" s="42"/>
      <c r="F162" s="42"/>
      <c r="I162" s="42"/>
    </row>
    <row r="163">
      <c r="E163" s="42"/>
      <c r="F163" s="42"/>
      <c r="I163" s="42"/>
    </row>
    <row r="164">
      <c r="E164" s="42"/>
      <c r="F164" s="42"/>
      <c r="I164" s="42"/>
    </row>
    <row r="165">
      <c r="E165" s="42"/>
      <c r="F165" s="42"/>
      <c r="I165" s="42"/>
    </row>
    <row r="166">
      <c r="E166" s="42"/>
      <c r="F166" s="42"/>
      <c r="I166" s="42"/>
    </row>
    <row r="167">
      <c r="E167" s="42"/>
      <c r="F167" s="42"/>
      <c r="I167" s="42"/>
    </row>
    <row r="168">
      <c r="E168" s="42"/>
      <c r="F168" s="42"/>
      <c r="I168" s="42"/>
    </row>
    <row r="169">
      <c r="E169" s="42"/>
      <c r="F169" s="42"/>
      <c r="I169" s="42"/>
    </row>
    <row r="170">
      <c r="E170" s="42"/>
      <c r="F170" s="42"/>
      <c r="I170" s="42"/>
    </row>
    <row r="171">
      <c r="E171" s="42"/>
      <c r="F171" s="42"/>
      <c r="I171" s="42"/>
    </row>
    <row r="172">
      <c r="E172" s="42"/>
      <c r="F172" s="42"/>
      <c r="I172" s="42"/>
    </row>
    <row r="173">
      <c r="E173" s="42"/>
      <c r="F173" s="42"/>
      <c r="I173" s="42"/>
    </row>
    <row r="174">
      <c r="E174" s="42"/>
      <c r="F174" s="42"/>
      <c r="I174" s="42"/>
    </row>
    <row r="175">
      <c r="E175" s="42"/>
      <c r="F175" s="42"/>
      <c r="I175" s="42"/>
    </row>
    <row r="176">
      <c r="E176" s="42"/>
      <c r="F176" s="42"/>
      <c r="I176" s="42"/>
    </row>
    <row r="177">
      <c r="E177" s="42"/>
      <c r="F177" s="42"/>
      <c r="I177" s="42"/>
    </row>
    <row r="178">
      <c r="E178" s="42"/>
      <c r="F178" s="42"/>
      <c r="I178" s="42"/>
    </row>
    <row r="179">
      <c r="E179" s="42"/>
      <c r="F179" s="42"/>
      <c r="I179" s="42"/>
    </row>
    <row r="180">
      <c r="E180" s="42"/>
      <c r="F180" s="42"/>
      <c r="I180" s="42"/>
    </row>
    <row r="181">
      <c r="E181" s="42"/>
      <c r="F181" s="42"/>
      <c r="I181" s="42"/>
    </row>
    <row r="182">
      <c r="E182" s="42"/>
      <c r="F182" s="42"/>
      <c r="I182" s="42"/>
    </row>
    <row r="183">
      <c r="E183" s="42"/>
      <c r="F183" s="42"/>
      <c r="I183" s="42"/>
    </row>
    <row r="184">
      <c r="E184" s="42"/>
      <c r="F184" s="42"/>
      <c r="I184" s="42"/>
    </row>
    <row r="185">
      <c r="E185" s="42"/>
      <c r="F185" s="42"/>
      <c r="I185" s="42"/>
    </row>
    <row r="186">
      <c r="E186" s="42"/>
      <c r="F186" s="42"/>
      <c r="I186" s="42"/>
    </row>
    <row r="187">
      <c r="E187" s="42"/>
      <c r="F187" s="42"/>
      <c r="I187" s="42"/>
    </row>
    <row r="188">
      <c r="E188" s="42"/>
      <c r="F188" s="42"/>
      <c r="I188" s="42"/>
    </row>
    <row r="189">
      <c r="E189" s="42"/>
      <c r="F189" s="42"/>
      <c r="I189" s="42"/>
    </row>
    <row r="190">
      <c r="E190" s="42"/>
      <c r="F190" s="42"/>
      <c r="I190" s="42"/>
    </row>
    <row r="191">
      <c r="E191" s="42"/>
      <c r="F191" s="42"/>
      <c r="I191" s="42"/>
    </row>
    <row r="192">
      <c r="E192" s="42"/>
      <c r="F192" s="42"/>
      <c r="I192" s="42"/>
    </row>
    <row r="193">
      <c r="E193" s="42"/>
      <c r="F193" s="42"/>
      <c r="I193" s="42"/>
    </row>
    <row r="194">
      <c r="E194" s="42"/>
      <c r="F194" s="42"/>
      <c r="I194" s="42"/>
    </row>
    <row r="195">
      <c r="E195" s="42"/>
      <c r="F195" s="42"/>
      <c r="I195" s="42"/>
    </row>
    <row r="196">
      <c r="E196" s="42"/>
      <c r="F196" s="42"/>
      <c r="I196" s="42"/>
    </row>
    <row r="197">
      <c r="E197" s="42"/>
      <c r="F197" s="42"/>
      <c r="I197" s="42"/>
    </row>
    <row r="198">
      <c r="E198" s="42"/>
      <c r="F198" s="42"/>
      <c r="I198" s="42"/>
    </row>
    <row r="199">
      <c r="E199" s="42"/>
      <c r="F199" s="42"/>
      <c r="I199" s="42"/>
    </row>
    <row r="200">
      <c r="E200" s="42"/>
      <c r="F200" s="42"/>
      <c r="I200" s="42"/>
    </row>
    <row r="201">
      <c r="E201" s="42"/>
      <c r="F201" s="42"/>
      <c r="I201" s="42"/>
    </row>
    <row r="202">
      <c r="E202" s="42"/>
      <c r="F202" s="42"/>
      <c r="I202" s="42"/>
    </row>
    <row r="203">
      <c r="E203" s="42"/>
      <c r="F203" s="42"/>
      <c r="I203" s="42"/>
    </row>
    <row r="204">
      <c r="E204" s="42"/>
      <c r="F204" s="42"/>
      <c r="I204" s="42"/>
    </row>
    <row r="205">
      <c r="E205" s="42"/>
      <c r="F205" s="42"/>
      <c r="I205" s="42"/>
    </row>
    <row r="206">
      <c r="E206" s="42"/>
      <c r="F206" s="42"/>
      <c r="I206" s="42"/>
    </row>
    <row r="207">
      <c r="E207" s="42"/>
      <c r="F207" s="42"/>
      <c r="I207" s="42"/>
    </row>
    <row r="208">
      <c r="E208" s="42"/>
      <c r="F208" s="42"/>
      <c r="I208" s="42"/>
    </row>
    <row r="209">
      <c r="E209" s="42"/>
      <c r="F209" s="42"/>
      <c r="I209" s="42"/>
    </row>
    <row r="210">
      <c r="E210" s="42"/>
      <c r="F210" s="42"/>
      <c r="I210" s="42"/>
    </row>
    <row r="211">
      <c r="E211" s="42"/>
      <c r="F211" s="42"/>
      <c r="I211" s="42"/>
    </row>
    <row r="212">
      <c r="E212" s="42"/>
      <c r="F212" s="42"/>
      <c r="I212" s="42"/>
    </row>
    <row r="213">
      <c r="E213" s="42"/>
      <c r="F213" s="42"/>
      <c r="I213" s="42"/>
    </row>
    <row r="214">
      <c r="E214" s="42"/>
      <c r="F214" s="42"/>
      <c r="I214" s="42"/>
    </row>
    <row r="215">
      <c r="E215" s="42"/>
      <c r="F215" s="42"/>
      <c r="I215" s="42"/>
    </row>
    <row r="216">
      <c r="E216" s="42"/>
      <c r="F216" s="42"/>
      <c r="I216" s="42"/>
    </row>
    <row r="217">
      <c r="E217" s="42"/>
      <c r="F217" s="42"/>
      <c r="I217" s="42"/>
    </row>
    <row r="218">
      <c r="E218" s="42"/>
      <c r="F218" s="42"/>
      <c r="I218" s="42"/>
    </row>
    <row r="219">
      <c r="E219" s="42"/>
      <c r="F219" s="42"/>
      <c r="I219" s="42"/>
    </row>
    <row r="220">
      <c r="E220" s="42"/>
      <c r="F220" s="42"/>
      <c r="I220" s="42"/>
    </row>
    <row r="221">
      <c r="E221" s="42"/>
      <c r="F221" s="42"/>
      <c r="I221" s="42"/>
    </row>
    <row r="222">
      <c r="E222" s="42"/>
      <c r="F222" s="42"/>
      <c r="I222" s="42"/>
    </row>
    <row r="223">
      <c r="E223" s="42"/>
      <c r="F223" s="42"/>
      <c r="I223" s="42"/>
    </row>
    <row r="224">
      <c r="E224" s="42"/>
      <c r="F224" s="42"/>
      <c r="I224" s="42"/>
    </row>
    <row r="225">
      <c r="E225" s="42"/>
      <c r="F225" s="42"/>
      <c r="I225" s="42"/>
    </row>
    <row r="226">
      <c r="E226" s="42"/>
      <c r="F226" s="42"/>
      <c r="I226" s="42"/>
    </row>
    <row r="227">
      <c r="E227" s="42"/>
      <c r="F227" s="42"/>
      <c r="I227" s="42"/>
    </row>
    <row r="228">
      <c r="E228" s="42"/>
      <c r="F228" s="42"/>
      <c r="I228" s="42"/>
    </row>
    <row r="229">
      <c r="E229" s="42"/>
      <c r="F229" s="42"/>
      <c r="I229" s="42"/>
    </row>
    <row r="230">
      <c r="E230" s="42"/>
      <c r="F230" s="42"/>
      <c r="I230" s="42"/>
    </row>
    <row r="231">
      <c r="E231" s="42"/>
      <c r="F231" s="42"/>
      <c r="I231" s="42"/>
    </row>
    <row r="232">
      <c r="E232" s="42"/>
      <c r="F232" s="42"/>
      <c r="I232" s="42"/>
    </row>
    <row r="233">
      <c r="E233" s="42"/>
      <c r="F233" s="42"/>
      <c r="I233" s="42"/>
    </row>
    <row r="234">
      <c r="E234" s="42"/>
      <c r="F234" s="42"/>
      <c r="I234" s="42"/>
    </row>
    <row r="235">
      <c r="E235" s="42"/>
      <c r="F235" s="42"/>
      <c r="I235" s="42"/>
    </row>
    <row r="236">
      <c r="E236" s="42"/>
      <c r="F236" s="42"/>
      <c r="I236" s="42"/>
    </row>
    <row r="237">
      <c r="E237" s="42"/>
      <c r="F237" s="42"/>
      <c r="I237" s="42"/>
    </row>
    <row r="238">
      <c r="E238" s="42"/>
      <c r="F238" s="42"/>
      <c r="I238" s="42"/>
    </row>
    <row r="239">
      <c r="E239" s="42"/>
      <c r="F239" s="42"/>
      <c r="I239" s="42"/>
    </row>
    <row r="240">
      <c r="E240" s="42"/>
      <c r="F240" s="42"/>
      <c r="I240" s="42"/>
    </row>
    <row r="241">
      <c r="E241" s="42"/>
      <c r="F241" s="42"/>
      <c r="I241" s="42"/>
    </row>
    <row r="242">
      <c r="E242" s="42"/>
      <c r="F242" s="42"/>
      <c r="I242" s="42"/>
    </row>
    <row r="243">
      <c r="E243" s="42"/>
      <c r="F243" s="42"/>
      <c r="I243" s="42"/>
    </row>
    <row r="244">
      <c r="E244" s="42"/>
      <c r="F244" s="42"/>
      <c r="I244" s="42"/>
    </row>
    <row r="245">
      <c r="E245" s="42"/>
      <c r="F245" s="42"/>
      <c r="I245" s="42"/>
    </row>
    <row r="246">
      <c r="E246" s="42"/>
      <c r="F246" s="42"/>
      <c r="I246" s="42"/>
    </row>
    <row r="247">
      <c r="E247" s="42"/>
      <c r="F247" s="42"/>
      <c r="I247" s="42"/>
    </row>
    <row r="248">
      <c r="E248" s="42"/>
      <c r="F248" s="42"/>
      <c r="I248" s="42"/>
    </row>
    <row r="249">
      <c r="E249" s="42"/>
      <c r="F249" s="42"/>
      <c r="I249" s="42"/>
    </row>
    <row r="250">
      <c r="E250" s="42"/>
      <c r="F250" s="42"/>
      <c r="I250" s="42"/>
    </row>
    <row r="251">
      <c r="E251" s="42"/>
      <c r="F251" s="42"/>
      <c r="I251" s="42"/>
    </row>
    <row r="252">
      <c r="E252" s="42"/>
      <c r="F252" s="42"/>
      <c r="I252" s="42"/>
    </row>
    <row r="253">
      <c r="E253" s="42"/>
      <c r="F253" s="42"/>
      <c r="I253" s="42"/>
    </row>
    <row r="254">
      <c r="E254" s="42"/>
      <c r="F254" s="42"/>
      <c r="I254" s="42"/>
    </row>
    <row r="255">
      <c r="E255" s="42"/>
      <c r="F255" s="42"/>
      <c r="I255" s="42"/>
    </row>
    <row r="256">
      <c r="E256" s="42"/>
      <c r="F256" s="42"/>
      <c r="I256" s="42"/>
    </row>
    <row r="257">
      <c r="E257" s="42"/>
      <c r="F257" s="42"/>
      <c r="I257" s="42"/>
    </row>
    <row r="258">
      <c r="E258" s="42"/>
      <c r="F258" s="42"/>
      <c r="I258" s="42"/>
    </row>
    <row r="259">
      <c r="E259" s="42"/>
      <c r="F259" s="42"/>
      <c r="I259" s="42"/>
    </row>
    <row r="260">
      <c r="E260" s="42"/>
      <c r="F260" s="42"/>
      <c r="I260" s="42"/>
    </row>
    <row r="261">
      <c r="E261" s="42"/>
      <c r="F261" s="42"/>
      <c r="I261" s="42"/>
    </row>
    <row r="262">
      <c r="E262" s="42"/>
      <c r="F262" s="42"/>
      <c r="I262" s="42"/>
    </row>
    <row r="263">
      <c r="E263" s="42"/>
      <c r="F263" s="42"/>
      <c r="I263" s="42"/>
    </row>
    <row r="264">
      <c r="E264" s="42"/>
      <c r="F264" s="42"/>
      <c r="I264" s="42"/>
    </row>
    <row r="265">
      <c r="E265" s="42"/>
      <c r="F265" s="42"/>
      <c r="I265" s="42"/>
    </row>
    <row r="266">
      <c r="E266" s="42"/>
      <c r="F266" s="42"/>
      <c r="I266" s="42"/>
    </row>
    <row r="267">
      <c r="E267" s="42"/>
      <c r="F267" s="42"/>
      <c r="I267" s="42"/>
    </row>
    <row r="268">
      <c r="E268" s="42"/>
      <c r="F268" s="42"/>
      <c r="I268" s="42"/>
    </row>
    <row r="269">
      <c r="E269" s="42"/>
      <c r="F269" s="42"/>
      <c r="I269" s="42"/>
    </row>
    <row r="270">
      <c r="E270" s="42"/>
      <c r="F270" s="42"/>
      <c r="I270" s="42"/>
    </row>
    <row r="271">
      <c r="E271" s="42"/>
      <c r="F271" s="42"/>
      <c r="I271" s="42"/>
    </row>
    <row r="272">
      <c r="E272" s="42"/>
      <c r="F272" s="42"/>
      <c r="I272" s="42"/>
    </row>
    <row r="273">
      <c r="E273" s="42"/>
      <c r="F273" s="42"/>
      <c r="I273" s="42"/>
    </row>
    <row r="274">
      <c r="E274" s="42"/>
      <c r="F274" s="42"/>
      <c r="I274" s="42"/>
    </row>
    <row r="275">
      <c r="E275" s="42"/>
      <c r="F275" s="42"/>
      <c r="I275" s="42"/>
    </row>
    <row r="276">
      <c r="E276" s="42"/>
      <c r="F276" s="42"/>
      <c r="I276" s="42"/>
    </row>
    <row r="277">
      <c r="E277" s="42"/>
      <c r="F277" s="42"/>
      <c r="I277" s="42"/>
    </row>
    <row r="278">
      <c r="E278" s="42"/>
      <c r="F278" s="42"/>
      <c r="I278" s="42"/>
    </row>
    <row r="279">
      <c r="E279" s="42"/>
      <c r="F279" s="42"/>
      <c r="I279" s="42"/>
    </row>
    <row r="280">
      <c r="E280" s="42"/>
      <c r="F280" s="42"/>
      <c r="I280" s="42"/>
    </row>
    <row r="281">
      <c r="E281" s="42"/>
      <c r="F281" s="42"/>
      <c r="I281" s="42"/>
    </row>
    <row r="282">
      <c r="E282" s="42"/>
      <c r="F282" s="42"/>
      <c r="I282" s="42"/>
    </row>
    <row r="283">
      <c r="E283" s="42"/>
      <c r="F283" s="42"/>
      <c r="I283" s="42"/>
    </row>
    <row r="284">
      <c r="E284" s="42"/>
      <c r="F284" s="42"/>
      <c r="I284" s="42"/>
    </row>
    <row r="285">
      <c r="E285" s="42"/>
      <c r="F285" s="42"/>
      <c r="I285" s="42"/>
    </row>
    <row r="286">
      <c r="E286" s="42"/>
      <c r="F286" s="42"/>
      <c r="I286" s="42"/>
    </row>
    <row r="287">
      <c r="E287" s="42"/>
      <c r="F287" s="42"/>
      <c r="I287" s="42"/>
    </row>
    <row r="288">
      <c r="E288" s="42"/>
      <c r="F288" s="42"/>
      <c r="I288" s="42"/>
    </row>
    <row r="289">
      <c r="E289" s="42"/>
      <c r="F289" s="42"/>
      <c r="I289" s="42"/>
    </row>
    <row r="290">
      <c r="E290" s="42"/>
      <c r="F290" s="42"/>
      <c r="I290" s="42"/>
    </row>
    <row r="291">
      <c r="E291" s="42"/>
      <c r="F291" s="42"/>
      <c r="I291" s="42"/>
    </row>
    <row r="292">
      <c r="E292" s="42"/>
      <c r="F292" s="42"/>
      <c r="I292" s="42"/>
    </row>
    <row r="293">
      <c r="E293" s="42"/>
      <c r="F293" s="42"/>
      <c r="I293" s="42"/>
    </row>
    <row r="294">
      <c r="E294" s="42"/>
      <c r="F294" s="42"/>
      <c r="I294" s="42"/>
    </row>
    <row r="295">
      <c r="E295" s="42"/>
      <c r="F295" s="42"/>
      <c r="I295" s="42"/>
    </row>
    <row r="296">
      <c r="E296" s="42"/>
      <c r="F296" s="42"/>
      <c r="I296" s="42"/>
    </row>
    <row r="297">
      <c r="E297" s="42"/>
      <c r="F297" s="42"/>
      <c r="I297" s="42"/>
    </row>
    <row r="298">
      <c r="E298" s="42"/>
      <c r="F298" s="42"/>
      <c r="I298" s="42"/>
    </row>
    <row r="299">
      <c r="E299" s="42"/>
      <c r="F299" s="42"/>
      <c r="I299" s="42"/>
    </row>
    <row r="300">
      <c r="E300" s="42"/>
      <c r="F300" s="42"/>
      <c r="I300" s="42"/>
    </row>
    <row r="301">
      <c r="E301" s="42"/>
      <c r="F301" s="42"/>
      <c r="I301" s="42"/>
    </row>
    <row r="302">
      <c r="E302" s="42"/>
      <c r="F302" s="42"/>
      <c r="I302" s="42"/>
    </row>
    <row r="303">
      <c r="E303" s="42"/>
      <c r="F303" s="42"/>
      <c r="I303" s="42"/>
    </row>
    <row r="304">
      <c r="E304" s="42"/>
      <c r="F304" s="42"/>
      <c r="I304" s="42"/>
    </row>
    <row r="305">
      <c r="E305" s="42"/>
      <c r="F305" s="42"/>
      <c r="I305" s="42"/>
    </row>
    <row r="306">
      <c r="E306" s="42"/>
      <c r="F306" s="42"/>
      <c r="I306" s="42"/>
    </row>
    <row r="307">
      <c r="E307" s="42"/>
      <c r="F307" s="42"/>
      <c r="I307" s="42"/>
    </row>
    <row r="308">
      <c r="E308" s="42"/>
      <c r="F308" s="42"/>
      <c r="I308" s="42"/>
    </row>
    <row r="309">
      <c r="E309" s="42"/>
      <c r="F309" s="42"/>
      <c r="I309" s="42"/>
    </row>
    <row r="310">
      <c r="E310" s="42"/>
      <c r="F310" s="42"/>
      <c r="I310" s="42"/>
    </row>
    <row r="311">
      <c r="E311" s="42"/>
      <c r="F311" s="42"/>
      <c r="I311" s="42"/>
    </row>
    <row r="312">
      <c r="E312" s="42"/>
      <c r="F312" s="42"/>
      <c r="I312" s="42"/>
    </row>
    <row r="313">
      <c r="E313" s="42"/>
      <c r="F313" s="42"/>
      <c r="I313" s="42"/>
    </row>
    <row r="314">
      <c r="E314" s="42"/>
      <c r="F314" s="42"/>
      <c r="I314" s="42"/>
    </row>
    <row r="315">
      <c r="E315" s="42"/>
      <c r="F315" s="42"/>
      <c r="I315" s="42"/>
    </row>
    <row r="316">
      <c r="E316" s="42"/>
      <c r="F316" s="42"/>
      <c r="I316" s="42"/>
    </row>
    <row r="317">
      <c r="E317" s="42"/>
      <c r="F317" s="42"/>
      <c r="I317" s="42"/>
    </row>
    <row r="318">
      <c r="E318" s="42"/>
      <c r="F318" s="42"/>
      <c r="I318" s="42"/>
    </row>
    <row r="319">
      <c r="E319" s="42"/>
      <c r="F319" s="42"/>
      <c r="I319" s="42"/>
    </row>
    <row r="320">
      <c r="E320" s="42"/>
      <c r="F320" s="42"/>
      <c r="I320" s="42"/>
    </row>
    <row r="321">
      <c r="E321" s="42"/>
      <c r="F321" s="42"/>
      <c r="I321" s="42"/>
    </row>
    <row r="322">
      <c r="E322" s="42"/>
      <c r="F322" s="42"/>
      <c r="I322" s="42"/>
    </row>
    <row r="323">
      <c r="E323" s="42"/>
      <c r="F323" s="42"/>
      <c r="I323" s="42"/>
    </row>
    <row r="324">
      <c r="E324" s="42"/>
      <c r="F324" s="42"/>
      <c r="I324" s="42"/>
    </row>
    <row r="325">
      <c r="E325" s="42"/>
      <c r="F325" s="42"/>
      <c r="I325" s="42"/>
    </row>
    <row r="326">
      <c r="E326" s="42"/>
      <c r="F326" s="42"/>
      <c r="I326" s="42"/>
    </row>
    <row r="327">
      <c r="E327" s="42"/>
      <c r="F327" s="42"/>
      <c r="I327" s="42"/>
    </row>
    <row r="328">
      <c r="E328" s="42"/>
      <c r="F328" s="42"/>
      <c r="I328" s="42"/>
    </row>
    <row r="329">
      <c r="E329" s="42"/>
      <c r="F329" s="42"/>
      <c r="I329" s="42"/>
    </row>
    <row r="330">
      <c r="E330" s="42"/>
      <c r="F330" s="42"/>
      <c r="I330" s="42"/>
    </row>
    <row r="331">
      <c r="E331" s="42"/>
      <c r="F331" s="42"/>
      <c r="I331" s="42"/>
    </row>
    <row r="332">
      <c r="E332" s="42"/>
      <c r="F332" s="42"/>
      <c r="I332" s="42"/>
    </row>
    <row r="333">
      <c r="E333" s="42"/>
      <c r="F333" s="42"/>
      <c r="I333" s="42"/>
    </row>
    <row r="334">
      <c r="E334" s="42"/>
      <c r="F334" s="42"/>
      <c r="I334" s="42"/>
    </row>
    <row r="335">
      <c r="E335" s="42"/>
      <c r="F335" s="42"/>
      <c r="I335" s="42"/>
    </row>
    <row r="336">
      <c r="E336" s="42"/>
      <c r="F336" s="42"/>
      <c r="I336" s="42"/>
    </row>
    <row r="337">
      <c r="E337" s="42"/>
      <c r="F337" s="42"/>
      <c r="I337" s="42"/>
    </row>
    <row r="338">
      <c r="E338" s="42"/>
      <c r="F338" s="42"/>
      <c r="I338" s="42"/>
    </row>
    <row r="339">
      <c r="E339" s="42"/>
      <c r="F339" s="42"/>
      <c r="I339" s="42"/>
    </row>
    <row r="340">
      <c r="E340" s="42"/>
      <c r="F340" s="42"/>
      <c r="I340" s="42"/>
    </row>
    <row r="341">
      <c r="E341" s="42"/>
      <c r="F341" s="42"/>
      <c r="I341" s="42"/>
    </row>
    <row r="342">
      <c r="E342" s="42"/>
      <c r="F342" s="42"/>
      <c r="I342" s="42"/>
    </row>
    <row r="343">
      <c r="E343" s="42"/>
      <c r="F343" s="42"/>
      <c r="I343" s="42"/>
    </row>
    <row r="344">
      <c r="E344" s="42"/>
      <c r="F344" s="42"/>
      <c r="I344" s="42"/>
    </row>
    <row r="345">
      <c r="E345" s="42"/>
      <c r="F345" s="42"/>
      <c r="I345" s="42"/>
    </row>
    <row r="346">
      <c r="E346" s="42"/>
      <c r="F346" s="42"/>
      <c r="I346" s="42"/>
    </row>
    <row r="347">
      <c r="E347" s="42"/>
      <c r="F347" s="42"/>
      <c r="I347" s="42"/>
    </row>
    <row r="348">
      <c r="E348" s="42"/>
      <c r="F348" s="42"/>
      <c r="I348" s="42"/>
    </row>
    <row r="349">
      <c r="E349" s="42"/>
      <c r="F349" s="42"/>
      <c r="I349" s="42"/>
    </row>
    <row r="350">
      <c r="E350" s="42"/>
      <c r="F350" s="42"/>
      <c r="I350" s="42"/>
    </row>
    <row r="351">
      <c r="E351" s="42"/>
      <c r="F351" s="42"/>
      <c r="I351" s="42"/>
    </row>
    <row r="352">
      <c r="E352" s="42"/>
      <c r="F352" s="42"/>
      <c r="I352" s="42"/>
    </row>
    <row r="353">
      <c r="E353" s="42"/>
      <c r="F353" s="42"/>
      <c r="I353" s="42"/>
    </row>
    <row r="354">
      <c r="E354" s="42"/>
      <c r="F354" s="42"/>
      <c r="I354" s="42"/>
    </row>
    <row r="355">
      <c r="E355" s="42"/>
      <c r="F355" s="42"/>
      <c r="I355" s="42"/>
    </row>
    <row r="356">
      <c r="E356" s="42"/>
      <c r="F356" s="42"/>
      <c r="I356" s="42"/>
    </row>
    <row r="357">
      <c r="E357" s="42"/>
      <c r="F357" s="42"/>
      <c r="I357" s="42"/>
    </row>
    <row r="358">
      <c r="E358" s="42"/>
      <c r="F358" s="42"/>
      <c r="I358" s="42"/>
    </row>
    <row r="359">
      <c r="E359" s="42"/>
      <c r="F359" s="42"/>
      <c r="I359" s="42"/>
    </row>
    <row r="360">
      <c r="E360" s="42"/>
      <c r="F360" s="42"/>
      <c r="I360" s="42"/>
    </row>
    <row r="361">
      <c r="E361" s="42"/>
      <c r="F361" s="42"/>
      <c r="I361" s="42"/>
    </row>
    <row r="362">
      <c r="E362" s="42"/>
      <c r="F362" s="42"/>
      <c r="I362" s="42"/>
    </row>
    <row r="363">
      <c r="E363" s="42"/>
      <c r="F363" s="42"/>
      <c r="I363" s="42"/>
    </row>
    <row r="364">
      <c r="E364" s="42"/>
      <c r="F364" s="42"/>
      <c r="I364" s="42"/>
    </row>
    <row r="365">
      <c r="E365" s="42"/>
      <c r="F365" s="42"/>
      <c r="I365" s="42"/>
    </row>
    <row r="366">
      <c r="E366" s="42"/>
      <c r="F366" s="42"/>
      <c r="I366" s="42"/>
    </row>
    <row r="367">
      <c r="E367" s="42"/>
      <c r="F367" s="42"/>
      <c r="I367" s="42"/>
    </row>
    <row r="368">
      <c r="E368" s="42"/>
      <c r="F368" s="42"/>
      <c r="I368" s="42"/>
    </row>
    <row r="369">
      <c r="E369" s="42"/>
      <c r="F369" s="42"/>
      <c r="I369" s="42"/>
    </row>
    <row r="370">
      <c r="E370" s="42"/>
      <c r="F370" s="42"/>
      <c r="I370" s="42"/>
    </row>
    <row r="371">
      <c r="E371" s="42"/>
      <c r="F371" s="42"/>
      <c r="I371" s="42"/>
    </row>
    <row r="372">
      <c r="E372" s="42"/>
      <c r="F372" s="42"/>
      <c r="I372" s="42"/>
    </row>
    <row r="373">
      <c r="E373" s="42"/>
      <c r="F373" s="42"/>
      <c r="I373" s="42"/>
    </row>
    <row r="374">
      <c r="E374" s="42"/>
      <c r="F374" s="42"/>
      <c r="I374" s="42"/>
    </row>
    <row r="375">
      <c r="E375" s="42"/>
      <c r="F375" s="42"/>
      <c r="I375" s="42"/>
    </row>
    <row r="376">
      <c r="E376" s="42"/>
      <c r="F376" s="42"/>
      <c r="I376" s="42"/>
    </row>
    <row r="377">
      <c r="E377" s="42"/>
      <c r="F377" s="42"/>
      <c r="I377" s="42"/>
    </row>
    <row r="378">
      <c r="E378" s="42"/>
      <c r="F378" s="42"/>
      <c r="I378" s="42"/>
    </row>
    <row r="379">
      <c r="E379" s="42"/>
      <c r="F379" s="42"/>
      <c r="I379" s="42"/>
    </row>
    <row r="380">
      <c r="E380" s="42"/>
      <c r="F380" s="42"/>
      <c r="I380" s="42"/>
    </row>
    <row r="381">
      <c r="E381" s="42"/>
      <c r="F381" s="42"/>
      <c r="I381" s="42"/>
    </row>
    <row r="382">
      <c r="E382" s="42"/>
      <c r="F382" s="42"/>
      <c r="I382" s="42"/>
    </row>
    <row r="383">
      <c r="E383" s="42"/>
      <c r="F383" s="42"/>
      <c r="I383" s="42"/>
    </row>
    <row r="384">
      <c r="E384" s="42"/>
      <c r="F384" s="42"/>
      <c r="I384" s="42"/>
    </row>
    <row r="385">
      <c r="E385" s="42"/>
      <c r="F385" s="42"/>
      <c r="I385" s="42"/>
    </row>
    <row r="386">
      <c r="E386" s="42"/>
      <c r="F386" s="42"/>
      <c r="I386" s="42"/>
    </row>
    <row r="387">
      <c r="E387" s="42"/>
      <c r="F387" s="42"/>
      <c r="I387" s="42"/>
    </row>
    <row r="388">
      <c r="E388" s="42"/>
      <c r="F388" s="42"/>
      <c r="I388" s="42"/>
    </row>
    <row r="389">
      <c r="E389" s="42"/>
      <c r="F389" s="42"/>
      <c r="I389" s="42"/>
    </row>
    <row r="390">
      <c r="E390" s="42"/>
      <c r="F390" s="42"/>
      <c r="I390" s="42"/>
    </row>
    <row r="391">
      <c r="E391" s="42"/>
      <c r="F391" s="42"/>
      <c r="I391" s="42"/>
    </row>
    <row r="392">
      <c r="E392" s="42"/>
      <c r="F392" s="42"/>
      <c r="I392" s="42"/>
    </row>
    <row r="393">
      <c r="E393" s="42"/>
      <c r="F393" s="42"/>
      <c r="I393" s="42"/>
    </row>
    <row r="394">
      <c r="E394" s="42"/>
      <c r="F394" s="42"/>
      <c r="I394" s="42"/>
    </row>
    <row r="395">
      <c r="E395" s="42"/>
      <c r="F395" s="42"/>
      <c r="I395" s="42"/>
    </row>
    <row r="396">
      <c r="E396" s="42"/>
      <c r="F396" s="42"/>
      <c r="I396" s="42"/>
    </row>
    <row r="397">
      <c r="E397" s="42"/>
      <c r="F397" s="42"/>
      <c r="I397" s="42"/>
    </row>
    <row r="398">
      <c r="E398" s="42"/>
      <c r="F398" s="42"/>
      <c r="I398" s="42"/>
    </row>
    <row r="399">
      <c r="E399" s="42"/>
      <c r="F399" s="42"/>
      <c r="I399" s="42"/>
    </row>
    <row r="400">
      <c r="E400" s="42"/>
      <c r="F400" s="42"/>
      <c r="I400" s="42"/>
    </row>
    <row r="401">
      <c r="E401" s="42"/>
      <c r="F401" s="42"/>
      <c r="I401" s="42"/>
    </row>
    <row r="402">
      <c r="E402" s="42"/>
      <c r="F402" s="42"/>
      <c r="I402" s="42"/>
    </row>
    <row r="403">
      <c r="E403" s="42"/>
      <c r="F403" s="42"/>
      <c r="I403" s="42"/>
    </row>
    <row r="404">
      <c r="E404" s="42"/>
      <c r="F404" s="42"/>
      <c r="I404" s="42"/>
    </row>
    <row r="405">
      <c r="E405" s="42"/>
      <c r="F405" s="42"/>
      <c r="I405" s="42"/>
    </row>
    <row r="406">
      <c r="E406" s="42"/>
      <c r="F406" s="42"/>
      <c r="I406" s="42"/>
    </row>
    <row r="407">
      <c r="E407" s="42"/>
      <c r="F407" s="42"/>
      <c r="I407" s="42"/>
    </row>
    <row r="408">
      <c r="E408" s="42"/>
      <c r="F408" s="42"/>
      <c r="I408" s="42"/>
    </row>
    <row r="409">
      <c r="E409" s="42"/>
      <c r="F409" s="42"/>
      <c r="I409" s="42"/>
    </row>
    <row r="410">
      <c r="E410" s="42"/>
      <c r="F410" s="42"/>
      <c r="I410" s="42"/>
    </row>
    <row r="411">
      <c r="E411" s="42"/>
      <c r="F411" s="42"/>
      <c r="I411" s="42"/>
    </row>
    <row r="412">
      <c r="E412" s="42"/>
      <c r="F412" s="42"/>
      <c r="I412" s="42"/>
    </row>
    <row r="413">
      <c r="E413" s="42"/>
      <c r="F413" s="42"/>
      <c r="I413" s="42"/>
    </row>
    <row r="414">
      <c r="E414" s="42"/>
      <c r="F414" s="42"/>
      <c r="I414" s="42"/>
    </row>
    <row r="415">
      <c r="E415" s="42"/>
      <c r="F415" s="42"/>
      <c r="I415" s="42"/>
    </row>
    <row r="416">
      <c r="E416" s="42"/>
      <c r="F416" s="42"/>
      <c r="I416" s="42"/>
    </row>
    <row r="417">
      <c r="E417" s="42"/>
      <c r="F417" s="42"/>
      <c r="I417" s="42"/>
    </row>
    <row r="418">
      <c r="E418" s="42"/>
      <c r="F418" s="42"/>
      <c r="I418" s="42"/>
    </row>
    <row r="419">
      <c r="E419" s="42"/>
      <c r="F419" s="42"/>
      <c r="I419" s="42"/>
    </row>
    <row r="420">
      <c r="E420" s="42"/>
      <c r="F420" s="42"/>
      <c r="I420" s="42"/>
    </row>
    <row r="421">
      <c r="E421" s="42"/>
      <c r="F421" s="42"/>
      <c r="I421" s="42"/>
    </row>
    <row r="422">
      <c r="E422" s="42"/>
      <c r="F422" s="42"/>
      <c r="I422" s="42"/>
    </row>
    <row r="423">
      <c r="E423" s="42"/>
      <c r="F423" s="42"/>
      <c r="I423" s="42"/>
    </row>
    <row r="424">
      <c r="E424" s="42"/>
      <c r="F424" s="42"/>
      <c r="I424" s="42"/>
    </row>
    <row r="425">
      <c r="E425" s="42"/>
      <c r="F425" s="42"/>
      <c r="I425" s="42"/>
    </row>
    <row r="426">
      <c r="E426" s="42"/>
      <c r="F426" s="42"/>
      <c r="I426" s="42"/>
    </row>
    <row r="427">
      <c r="E427" s="42"/>
      <c r="F427" s="42"/>
      <c r="I427" s="42"/>
    </row>
    <row r="428">
      <c r="E428" s="42"/>
      <c r="F428" s="42"/>
      <c r="I428" s="42"/>
    </row>
    <row r="429">
      <c r="E429" s="42"/>
      <c r="F429" s="42"/>
      <c r="I429" s="42"/>
    </row>
    <row r="430">
      <c r="E430" s="42"/>
      <c r="F430" s="42"/>
      <c r="I430" s="42"/>
    </row>
    <row r="431">
      <c r="E431" s="42"/>
      <c r="F431" s="42"/>
      <c r="I431" s="42"/>
    </row>
    <row r="432">
      <c r="E432" s="42"/>
      <c r="F432" s="42"/>
      <c r="I432" s="42"/>
    </row>
    <row r="433">
      <c r="E433" s="42"/>
      <c r="F433" s="42"/>
      <c r="I433" s="42"/>
    </row>
    <row r="434">
      <c r="E434" s="42"/>
      <c r="F434" s="42"/>
      <c r="I434" s="42"/>
    </row>
    <row r="435">
      <c r="E435" s="42"/>
      <c r="F435" s="42"/>
      <c r="I435" s="42"/>
    </row>
    <row r="436">
      <c r="E436" s="42"/>
      <c r="F436" s="42"/>
      <c r="I436" s="42"/>
    </row>
    <row r="437">
      <c r="E437" s="42"/>
      <c r="F437" s="42"/>
      <c r="I437" s="42"/>
    </row>
    <row r="438">
      <c r="E438" s="42"/>
      <c r="F438" s="42"/>
      <c r="I438" s="42"/>
    </row>
    <row r="439">
      <c r="E439" s="42"/>
      <c r="F439" s="42"/>
      <c r="I439" s="42"/>
    </row>
    <row r="440">
      <c r="E440" s="42"/>
      <c r="F440" s="42"/>
      <c r="I440" s="42"/>
    </row>
    <row r="441">
      <c r="E441" s="42"/>
      <c r="F441" s="42"/>
      <c r="I441" s="42"/>
    </row>
    <row r="442">
      <c r="E442" s="42"/>
      <c r="F442" s="42"/>
      <c r="I442" s="42"/>
    </row>
    <row r="443">
      <c r="E443" s="42"/>
      <c r="F443" s="42"/>
      <c r="I443" s="42"/>
    </row>
    <row r="444">
      <c r="E444" s="42"/>
      <c r="F444" s="42"/>
      <c r="I444" s="42"/>
    </row>
    <row r="445">
      <c r="E445" s="42"/>
      <c r="F445" s="42"/>
      <c r="I445" s="42"/>
    </row>
    <row r="446">
      <c r="E446" s="42"/>
      <c r="F446" s="42"/>
      <c r="I446" s="42"/>
    </row>
    <row r="447">
      <c r="E447" s="42"/>
      <c r="F447" s="42"/>
      <c r="I447" s="42"/>
    </row>
    <row r="448">
      <c r="E448" s="42"/>
      <c r="F448" s="42"/>
      <c r="I448" s="42"/>
    </row>
    <row r="449">
      <c r="E449" s="42"/>
      <c r="F449" s="42"/>
      <c r="I449" s="42"/>
    </row>
    <row r="450">
      <c r="E450" s="42"/>
      <c r="F450" s="42"/>
      <c r="I450" s="42"/>
    </row>
    <row r="451">
      <c r="E451" s="42"/>
      <c r="F451" s="42"/>
      <c r="I451" s="42"/>
    </row>
    <row r="452">
      <c r="E452" s="42"/>
      <c r="F452" s="42"/>
      <c r="I452" s="42"/>
    </row>
    <row r="453">
      <c r="E453" s="42"/>
      <c r="F453" s="42"/>
      <c r="I453" s="42"/>
    </row>
    <row r="454">
      <c r="E454" s="42"/>
      <c r="F454" s="42"/>
      <c r="I454" s="42"/>
    </row>
    <row r="455">
      <c r="E455" s="42"/>
      <c r="F455" s="42"/>
      <c r="I455" s="42"/>
    </row>
    <row r="456">
      <c r="E456" s="42"/>
      <c r="F456" s="42"/>
      <c r="I456" s="42"/>
    </row>
    <row r="457">
      <c r="E457" s="42"/>
      <c r="F457" s="42"/>
      <c r="I457" s="42"/>
    </row>
    <row r="458">
      <c r="E458" s="42"/>
      <c r="F458" s="42"/>
      <c r="I458" s="42"/>
    </row>
    <row r="459">
      <c r="E459" s="42"/>
      <c r="F459" s="42"/>
      <c r="I459" s="42"/>
    </row>
    <row r="460">
      <c r="E460" s="42"/>
      <c r="F460" s="42"/>
      <c r="I460" s="42"/>
    </row>
    <row r="461">
      <c r="E461" s="42"/>
      <c r="F461" s="42"/>
      <c r="I461" s="42"/>
    </row>
    <row r="462">
      <c r="E462" s="42"/>
      <c r="F462" s="42"/>
      <c r="I462" s="42"/>
    </row>
    <row r="463">
      <c r="E463" s="42"/>
      <c r="F463" s="42"/>
      <c r="I463" s="42"/>
    </row>
    <row r="464">
      <c r="E464" s="42"/>
      <c r="F464" s="42"/>
      <c r="I464" s="42"/>
    </row>
    <row r="465">
      <c r="E465" s="42"/>
      <c r="F465" s="42"/>
      <c r="I465" s="42"/>
    </row>
    <row r="466">
      <c r="E466" s="42"/>
      <c r="F466" s="42"/>
      <c r="I466" s="42"/>
    </row>
    <row r="467">
      <c r="E467" s="42"/>
      <c r="F467" s="42"/>
      <c r="I467" s="42"/>
    </row>
    <row r="468">
      <c r="E468" s="42"/>
      <c r="F468" s="42"/>
      <c r="I468" s="42"/>
    </row>
    <row r="469">
      <c r="E469" s="42"/>
      <c r="F469" s="42"/>
      <c r="I469" s="42"/>
    </row>
    <row r="470">
      <c r="E470" s="42"/>
      <c r="F470" s="42"/>
      <c r="I470" s="42"/>
    </row>
    <row r="471">
      <c r="E471" s="42"/>
      <c r="F471" s="42"/>
      <c r="I471" s="42"/>
    </row>
    <row r="472">
      <c r="E472" s="42"/>
      <c r="F472" s="42"/>
      <c r="I472" s="42"/>
    </row>
    <row r="473">
      <c r="E473" s="42"/>
      <c r="F473" s="42"/>
      <c r="I473" s="42"/>
    </row>
    <row r="474">
      <c r="E474" s="42"/>
      <c r="F474" s="42"/>
      <c r="I474" s="42"/>
    </row>
    <row r="475">
      <c r="E475" s="42"/>
      <c r="F475" s="42"/>
      <c r="I475" s="42"/>
    </row>
    <row r="476">
      <c r="E476" s="42"/>
      <c r="F476" s="42"/>
      <c r="I476" s="42"/>
    </row>
    <row r="477">
      <c r="E477" s="42"/>
      <c r="F477" s="42"/>
      <c r="I477" s="42"/>
    </row>
    <row r="478">
      <c r="E478" s="42"/>
      <c r="F478" s="42"/>
      <c r="I478" s="42"/>
    </row>
    <row r="479">
      <c r="E479" s="42"/>
      <c r="F479" s="42"/>
      <c r="I479" s="42"/>
    </row>
    <row r="480">
      <c r="E480" s="42"/>
      <c r="F480" s="42"/>
      <c r="I480" s="42"/>
    </row>
    <row r="481">
      <c r="E481" s="42"/>
      <c r="F481" s="42"/>
      <c r="I481" s="42"/>
    </row>
    <row r="482">
      <c r="E482" s="42"/>
      <c r="F482" s="42"/>
      <c r="I482" s="42"/>
    </row>
    <row r="483">
      <c r="E483" s="42"/>
      <c r="F483" s="42"/>
      <c r="I483" s="42"/>
    </row>
    <row r="484">
      <c r="E484" s="42"/>
      <c r="F484" s="42"/>
      <c r="I484" s="42"/>
    </row>
    <row r="485">
      <c r="E485" s="42"/>
      <c r="F485" s="42"/>
      <c r="I485" s="42"/>
    </row>
    <row r="486">
      <c r="E486" s="42"/>
      <c r="F486" s="42"/>
      <c r="I486" s="42"/>
    </row>
    <row r="487">
      <c r="E487" s="42"/>
      <c r="F487" s="42"/>
      <c r="I487" s="42"/>
    </row>
    <row r="488">
      <c r="E488" s="42"/>
      <c r="F488" s="42"/>
      <c r="I488" s="42"/>
    </row>
    <row r="489">
      <c r="E489" s="42"/>
      <c r="F489" s="42"/>
      <c r="I489" s="42"/>
    </row>
    <row r="490">
      <c r="E490" s="42"/>
      <c r="F490" s="42"/>
      <c r="I490" s="42"/>
    </row>
    <row r="491">
      <c r="E491" s="42"/>
      <c r="F491" s="42"/>
      <c r="I491" s="42"/>
    </row>
    <row r="492">
      <c r="E492" s="42"/>
      <c r="F492" s="42"/>
      <c r="I492" s="42"/>
    </row>
    <row r="493">
      <c r="E493" s="42"/>
      <c r="F493" s="42"/>
      <c r="I493" s="42"/>
    </row>
    <row r="494">
      <c r="E494" s="42"/>
      <c r="F494" s="42"/>
      <c r="I494" s="42"/>
    </row>
    <row r="495">
      <c r="E495" s="42"/>
      <c r="F495" s="42"/>
      <c r="I495" s="42"/>
    </row>
    <row r="496">
      <c r="E496" s="42"/>
      <c r="F496" s="42"/>
      <c r="I496" s="42"/>
    </row>
    <row r="497">
      <c r="E497" s="42"/>
      <c r="F497" s="42"/>
      <c r="I497" s="42"/>
    </row>
    <row r="498">
      <c r="E498" s="42"/>
      <c r="F498" s="42"/>
      <c r="I498" s="42"/>
    </row>
    <row r="499">
      <c r="E499" s="42"/>
      <c r="F499" s="42"/>
      <c r="I499" s="42"/>
    </row>
    <row r="500">
      <c r="E500" s="42"/>
      <c r="F500" s="42"/>
      <c r="I500" s="42"/>
    </row>
    <row r="501">
      <c r="E501" s="42"/>
      <c r="F501" s="42"/>
      <c r="I501" s="42"/>
    </row>
    <row r="502">
      <c r="E502" s="42"/>
      <c r="F502" s="42"/>
      <c r="I502" s="42"/>
    </row>
    <row r="503">
      <c r="E503" s="42"/>
      <c r="F503" s="42"/>
      <c r="I503" s="42"/>
    </row>
    <row r="504">
      <c r="E504" s="42"/>
      <c r="F504" s="42"/>
      <c r="I504" s="42"/>
    </row>
    <row r="505">
      <c r="E505" s="42"/>
      <c r="F505" s="42"/>
      <c r="I505" s="42"/>
    </row>
    <row r="506">
      <c r="E506" s="42"/>
      <c r="F506" s="42"/>
      <c r="I506" s="42"/>
    </row>
    <row r="507">
      <c r="E507" s="42"/>
      <c r="F507" s="42"/>
      <c r="I507" s="42"/>
    </row>
    <row r="508">
      <c r="E508" s="42"/>
      <c r="F508" s="42"/>
      <c r="I508" s="42"/>
    </row>
    <row r="509">
      <c r="E509" s="42"/>
      <c r="F509" s="42"/>
      <c r="I509" s="42"/>
    </row>
    <row r="510">
      <c r="E510" s="42"/>
      <c r="F510" s="42"/>
      <c r="I510" s="42"/>
    </row>
    <row r="511">
      <c r="E511" s="42"/>
      <c r="F511" s="42"/>
      <c r="I511" s="42"/>
    </row>
    <row r="512">
      <c r="E512" s="42"/>
      <c r="F512" s="42"/>
      <c r="I512" s="42"/>
    </row>
    <row r="513">
      <c r="E513" s="42"/>
      <c r="F513" s="42"/>
      <c r="I513" s="42"/>
    </row>
    <row r="514">
      <c r="E514" s="42"/>
      <c r="F514" s="42"/>
      <c r="I514" s="42"/>
    </row>
    <row r="515">
      <c r="E515" s="42"/>
      <c r="F515" s="42"/>
      <c r="I515" s="42"/>
    </row>
    <row r="516">
      <c r="E516" s="42"/>
      <c r="F516" s="42"/>
      <c r="I516" s="42"/>
    </row>
    <row r="517">
      <c r="E517" s="42"/>
      <c r="F517" s="42"/>
      <c r="I517" s="42"/>
    </row>
    <row r="518">
      <c r="E518" s="42"/>
      <c r="F518" s="42"/>
      <c r="I518" s="42"/>
    </row>
    <row r="519">
      <c r="E519" s="42"/>
      <c r="F519" s="42"/>
      <c r="I519" s="42"/>
    </row>
    <row r="520">
      <c r="E520" s="42"/>
      <c r="F520" s="42"/>
      <c r="I520" s="42"/>
    </row>
    <row r="521">
      <c r="E521" s="42"/>
      <c r="F521" s="42"/>
      <c r="I521" s="42"/>
    </row>
    <row r="522">
      <c r="E522" s="42"/>
      <c r="F522" s="42"/>
      <c r="I522" s="42"/>
    </row>
    <row r="523">
      <c r="E523" s="42"/>
      <c r="F523" s="42"/>
      <c r="I523" s="42"/>
    </row>
    <row r="524">
      <c r="E524" s="42"/>
      <c r="F524" s="42"/>
      <c r="I524" s="42"/>
    </row>
    <row r="525">
      <c r="E525" s="42"/>
      <c r="F525" s="42"/>
      <c r="I525" s="42"/>
    </row>
    <row r="526">
      <c r="E526" s="42"/>
      <c r="F526" s="42"/>
      <c r="I526" s="42"/>
    </row>
    <row r="527">
      <c r="E527" s="42"/>
      <c r="F527" s="42"/>
      <c r="I527" s="42"/>
    </row>
    <row r="528">
      <c r="E528" s="42"/>
      <c r="F528" s="42"/>
      <c r="I528" s="42"/>
    </row>
    <row r="529">
      <c r="E529" s="42"/>
      <c r="F529" s="42"/>
      <c r="I529" s="42"/>
    </row>
    <row r="530">
      <c r="E530" s="42"/>
      <c r="F530" s="42"/>
      <c r="I530" s="42"/>
    </row>
    <row r="531">
      <c r="E531" s="42"/>
      <c r="F531" s="42"/>
      <c r="I531" s="42"/>
    </row>
    <row r="532">
      <c r="E532" s="42"/>
      <c r="F532" s="42"/>
      <c r="I532" s="42"/>
    </row>
    <row r="533">
      <c r="E533" s="42"/>
      <c r="F533" s="42"/>
      <c r="I533" s="42"/>
    </row>
    <row r="534">
      <c r="E534" s="42"/>
      <c r="F534" s="42"/>
      <c r="I534" s="42"/>
    </row>
    <row r="535">
      <c r="E535" s="42"/>
      <c r="F535" s="42"/>
      <c r="I535" s="42"/>
    </row>
    <row r="536">
      <c r="E536" s="42"/>
      <c r="F536" s="42"/>
      <c r="I536" s="42"/>
    </row>
    <row r="537">
      <c r="E537" s="42"/>
      <c r="F537" s="42"/>
      <c r="I537" s="42"/>
    </row>
    <row r="538">
      <c r="E538" s="42"/>
      <c r="F538" s="42"/>
      <c r="I538" s="42"/>
    </row>
    <row r="539">
      <c r="E539" s="42"/>
      <c r="F539" s="42"/>
      <c r="I539" s="42"/>
    </row>
    <row r="540">
      <c r="E540" s="42"/>
      <c r="F540" s="42"/>
      <c r="I540" s="42"/>
    </row>
    <row r="541">
      <c r="E541" s="42"/>
      <c r="F541" s="42"/>
      <c r="I541" s="42"/>
    </row>
    <row r="542">
      <c r="E542" s="42"/>
      <c r="F542" s="42"/>
      <c r="I542" s="42"/>
    </row>
    <row r="543">
      <c r="E543" s="42"/>
      <c r="F543" s="42"/>
      <c r="I543" s="42"/>
    </row>
    <row r="544">
      <c r="E544" s="42"/>
      <c r="F544" s="42"/>
      <c r="I544" s="42"/>
    </row>
    <row r="545">
      <c r="E545" s="42"/>
      <c r="F545" s="42"/>
      <c r="I545" s="42"/>
    </row>
    <row r="546">
      <c r="E546" s="42"/>
      <c r="F546" s="42"/>
      <c r="I546" s="42"/>
    </row>
    <row r="547">
      <c r="E547" s="42"/>
      <c r="F547" s="42"/>
      <c r="I547" s="42"/>
    </row>
    <row r="548">
      <c r="E548" s="42"/>
      <c r="F548" s="42"/>
      <c r="I548" s="42"/>
    </row>
    <row r="549">
      <c r="E549" s="42"/>
      <c r="F549" s="42"/>
      <c r="I549" s="42"/>
    </row>
    <row r="550">
      <c r="E550" s="42"/>
      <c r="F550" s="42"/>
      <c r="I550" s="42"/>
    </row>
    <row r="551">
      <c r="E551" s="42"/>
      <c r="F551" s="42"/>
      <c r="I551" s="42"/>
    </row>
    <row r="552">
      <c r="E552" s="42"/>
      <c r="F552" s="42"/>
      <c r="I552" s="42"/>
    </row>
    <row r="553">
      <c r="E553" s="42"/>
      <c r="F553" s="42"/>
      <c r="I553" s="42"/>
    </row>
    <row r="554">
      <c r="E554" s="42"/>
      <c r="F554" s="42"/>
      <c r="I554" s="42"/>
    </row>
    <row r="555">
      <c r="E555" s="42"/>
      <c r="F555" s="42"/>
      <c r="I555" s="42"/>
    </row>
    <row r="556">
      <c r="E556" s="42"/>
      <c r="F556" s="42"/>
      <c r="I556" s="42"/>
    </row>
    <row r="557">
      <c r="E557" s="42"/>
      <c r="F557" s="42"/>
      <c r="I557" s="42"/>
    </row>
    <row r="558">
      <c r="E558" s="42"/>
      <c r="F558" s="42"/>
      <c r="I558" s="42"/>
    </row>
    <row r="559">
      <c r="E559" s="42"/>
      <c r="F559" s="42"/>
      <c r="I559" s="42"/>
    </row>
    <row r="560">
      <c r="E560" s="42"/>
      <c r="F560" s="42"/>
      <c r="I560" s="42"/>
    </row>
    <row r="561">
      <c r="E561" s="42"/>
      <c r="F561" s="42"/>
      <c r="I561" s="42"/>
    </row>
    <row r="562">
      <c r="E562" s="42"/>
      <c r="F562" s="42"/>
      <c r="I562" s="42"/>
    </row>
    <row r="563">
      <c r="E563" s="42"/>
      <c r="F563" s="42"/>
      <c r="I563" s="42"/>
    </row>
    <row r="564">
      <c r="E564" s="42"/>
      <c r="F564" s="42"/>
      <c r="I564" s="42"/>
    </row>
    <row r="565">
      <c r="E565" s="42"/>
      <c r="F565" s="42"/>
      <c r="I565" s="42"/>
    </row>
    <row r="566">
      <c r="E566" s="42"/>
      <c r="F566" s="42"/>
      <c r="I566" s="42"/>
    </row>
    <row r="567">
      <c r="E567" s="42"/>
      <c r="F567" s="42"/>
      <c r="I567" s="42"/>
    </row>
    <row r="568">
      <c r="E568" s="42"/>
      <c r="F568" s="42"/>
      <c r="I568" s="42"/>
    </row>
    <row r="569">
      <c r="E569" s="42"/>
      <c r="F569" s="42"/>
      <c r="I569" s="42"/>
    </row>
    <row r="570">
      <c r="E570" s="42"/>
      <c r="F570" s="42"/>
      <c r="I570" s="42"/>
    </row>
    <row r="571">
      <c r="E571" s="42"/>
      <c r="F571" s="42"/>
      <c r="I571" s="42"/>
    </row>
    <row r="572">
      <c r="E572" s="42"/>
      <c r="F572" s="42"/>
      <c r="I572" s="42"/>
    </row>
    <row r="573">
      <c r="E573" s="42"/>
      <c r="F573" s="42"/>
      <c r="I573" s="42"/>
    </row>
    <row r="574">
      <c r="E574" s="42"/>
      <c r="F574" s="42"/>
      <c r="I574" s="42"/>
    </row>
    <row r="575">
      <c r="E575" s="42"/>
      <c r="F575" s="42"/>
      <c r="I575" s="42"/>
    </row>
    <row r="576">
      <c r="E576" s="42"/>
      <c r="F576" s="42"/>
      <c r="I576" s="42"/>
    </row>
    <row r="577">
      <c r="E577" s="42"/>
      <c r="F577" s="42"/>
      <c r="I577" s="42"/>
    </row>
    <row r="578">
      <c r="E578" s="42"/>
      <c r="F578" s="42"/>
      <c r="I578" s="42"/>
    </row>
    <row r="579">
      <c r="E579" s="42"/>
      <c r="F579" s="42"/>
      <c r="I579" s="42"/>
    </row>
    <row r="580">
      <c r="E580" s="42"/>
      <c r="F580" s="42"/>
      <c r="I580" s="42"/>
    </row>
    <row r="581">
      <c r="E581" s="42"/>
      <c r="F581" s="42"/>
      <c r="I581" s="42"/>
    </row>
    <row r="582">
      <c r="E582" s="42"/>
      <c r="F582" s="42"/>
      <c r="I582" s="42"/>
    </row>
    <row r="583">
      <c r="E583" s="42"/>
      <c r="F583" s="42"/>
      <c r="I583" s="42"/>
    </row>
    <row r="584">
      <c r="E584" s="42"/>
      <c r="F584" s="42"/>
      <c r="I584" s="42"/>
    </row>
    <row r="585">
      <c r="E585" s="42"/>
      <c r="F585" s="42"/>
      <c r="I585" s="42"/>
    </row>
    <row r="586">
      <c r="E586" s="42"/>
      <c r="F586" s="42"/>
      <c r="I586" s="42"/>
    </row>
    <row r="587">
      <c r="E587" s="42"/>
      <c r="F587" s="42"/>
      <c r="I587" s="42"/>
    </row>
    <row r="588">
      <c r="E588" s="42"/>
      <c r="F588" s="42"/>
      <c r="I588" s="42"/>
    </row>
    <row r="589">
      <c r="E589" s="42"/>
      <c r="F589" s="42"/>
      <c r="I589" s="42"/>
    </row>
    <row r="590">
      <c r="E590" s="42"/>
      <c r="F590" s="42"/>
      <c r="I590" s="42"/>
    </row>
    <row r="591">
      <c r="E591" s="42"/>
      <c r="F591" s="42"/>
      <c r="I591" s="42"/>
    </row>
    <row r="592">
      <c r="E592" s="42"/>
      <c r="F592" s="42"/>
      <c r="I592" s="42"/>
    </row>
    <row r="593">
      <c r="E593" s="42"/>
      <c r="F593" s="42"/>
      <c r="I593" s="42"/>
    </row>
    <row r="594">
      <c r="E594" s="42"/>
      <c r="F594" s="42"/>
      <c r="I594" s="42"/>
    </row>
    <row r="595">
      <c r="E595" s="42"/>
      <c r="F595" s="42"/>
      <c r="I595" s="42"/>
    </row>
    <row r="596">
      <c r="E596" s="42"/>
      <c r="F596" s="42"/>
      <c r="I596" s="42"/>
    </row>
    <row r="597">
      <c r="E597" s="42"/>
      <c r="F597" s="42"/>
      <c r="I597" s="42"/>
    </row>
    <row r="598">
      <c r="E598" s="42"/>
      <c r="F598" s="42"/>
      <c r="I598" s="42"/>
    </row>
    <row r="599">
      <c r="E599" s="42"/>
      <c r="F599" s="42"/>
      <c r="I599" s="42"/>
    </row>
    <row r="600">
      <c r="E600" s="42"/>
      <c r="F600" s="42"/>
      <c r="I600" s="42"/>
    </row>
    <row r="601">
      <c r="E601" s="42"/>
      <c r="F601" s="42"/>
      <c r="I601" s="42"/>
    </row>
    <row r="602">
      <c r="E602" s="42"/>
      <c r="F602" s="42"/>
      <c r="I602" s="42"/>
    </row>
    <row r="603">
      <c r="E603" s="42"/>
      <c r="F603" s="42"/>
      <c r="I603" s="42"/>
    </row>
    <row r="604">
      <c r="E604" s="42"/>
      <c r="F604" s="42"/>
      <c r="I604" s="42"/>
    </row>
    <row r="605">
      <c r="E605" s="42"/>
      <c r="F605" s="42"/>
      <c r="I605" s="42"/>
    </row>
    <row r="606">
      <c r="E606" s="42"/>
      <c r="F606" s="42"/>
      <c r="I606" s="42"/>
    </row>
    <row r="607">
      <c r="E607" s="42"/>
      <c r="F607" s="42"/>
      <c r="I607" s="42"/>
    </row>
    <row r="608">
      <c r="E608" s="42"/>
      <c r="F608" s="42"/>
      <c r="I608" s="42"/>
    </row>
    <row r="609">
      <c r="E609" s="42"/>
      <c r="F609" s="42"/>
      <c r="I609" s="42"/>
    </row>
    <row r="610">
      <c r="E610" s="42"/>
      <c r="F610" s="42"/>
      <c r="I610" s="42"/>
    </row>
    <row r="611">
      <c r="E611" s="42"/>
      <c r="F611" s="42"/>
      <c r="I611" s="42"/>
    </row>
    <row r="612">
      <c r="E612" s="42"/>
      <c r="F612" s="42"/>
      <c r="I612" s="42"/>
    </row>
    <row r="613">
      <c r="E613" s="42"/>
      <c r="F613" s="42"/>
      <c r="I613" s="42"/>
    </row>
    <row r="614">
      <c r="E614" s="42"/>
      <c r="F614" s="42"/>
      <c r="I614" s="42"/>
    </row>
    <row r="615">
      <c r="E615" s="42"/>
      <c r="F615" s="42"/>
      <c r="I615" s="42"/>
    </row>
    <row r="616">
      <c r="E616" s="42"/>
      <c r="F616" s="42"/>
      <c r="I616" s="42"/>
    </row>
    <row r="617">
      <c r="E617" s="42"/>
      <c r="F617" s="42"/>
      <c r="I617" s="42"/>
    </row>
    <row r="618">
      <c r="E618" s="42"/>
      <c r="F618" s="42"/>
      <c r="I618" s="42"/>
    </row>
    <row r="619">
      <c r="E619" s="42"/>
      <c r="F619" s="42"/>
      <c r="I619" s="42"/>
    </row>
    <row r="620">
      <c r="E620" s="42"/>
      <c r="F620" s="42"/>
      <c r="I620" s="42"/>
    </row>
    <row r="621">
      <c r="E621" s="42"/>
      <c r="F621" s="42"/>
      <c r="I621" s="42"/>
    </row>
    <row r="622">
      <c r="E622" s="42"/>
      <c r="F622" s="42"/>
      <c r="I622" s="42"/>
    </row>
    <row r="623">
      <c r="E623" s="42"/>
      <c r="F623" s="42"/>
      <c r="I623" s="42"/>
    </row>
    <row r="624">
      <c r="E624" s="42"/>
      <c r="F624" s="42"/>
      <c r="I624" s="42"/>
    </row>
    <row r="625">
      <c r="E625" s="42"/>
      <c r="F625" s="42"/>
      <c r="I625" s="42"/>
    </row>
    <row r="626">
      <c r="E626" s="42"/>
      <c r="F626" s="42"/>
      <c r="I626" s="42"/>
    </row>
    <row r="627">
      <c r="E627" s="42"/>
      <c r="F627" s="42"/>
      <c r="I627" s="42"/>
    </row>
    <row r="628">
      <c r="E628" s="42"/>
      <c r="F628" s="42"/>
      <c r="I628" s="42"/>
    </row>
    <row r="629">
      <c r="E629" s="42"/>
      <c r="F629" s="42"/>
      <c r="I629" s="42"/>
    </row>
    <row r="630">
      <c r="E630" s="42"/>
      <c r="F630" s="42"/>
      <c r="I630" s="42"/>
    </row>
    <row r="631">
      <c r="E631" s="42"/>
      <c r="F631" s="42"/>
      <c r="I631" s="42"/>
    </row>
    <row r="632">
      <c r="E632" s="42"/>
      <c r="F632" s="42"/>
      <c r="I632" s="42"/>
    </row>
    <row r="633">
      <c r="E633" s="42"/>
      <c r="F633" s="42"/>
      <c r="I633" s="42"/>
    </row>
    <row r="634">
      <c r="E634" s="42"/>
      <c r="F634" s="42"/>
      <c r="I634" s="42"/>
    </row>
    <row r="635">
      <c r="E635" s="42"/>
      <c r="F635" s="42"/>
      <c r="I635" s="42"/>
    </row>
    <row r="636">
      <c r="E636" s="42"/>
      <c r="F636" s="42"/>
      <c r="I636" s="42"/>
    </row>
    <row r="637">
      <c r="E637" s="42"/>
      <c r="F637" s="42"/>
      <c r="I637" s="42"/>
    </row>
    <row r="638">
      <c r="E638" s="42"/>
      <c r="F638" s="42"/>
      <c r="I638" s="42"/>
    </row>
    <row r="639">
      <c r="E639" s="42"/>
      <c r="F639" s="42"/>
      <c r="I639" s="42"/>
    </row>
    <row r="640">
      <c r="E640" s="42"/>
      <c r="F640" s="42"/>
      <c r="I640" s="42"/>
    </row>
    <row r="641">
      <c r="E641" s="42"/>
      <c r="F641" s="42"/>
      <c r="I641" s="42"/>
    </row>
    <row r="642">
      <c r="E642" s="42"/>
      <c r="F642" s="42"/>
      <c r="I642" s="42"/>
    </row>
    <row r="643">
      <c r="E643" s="42"/>
      <c r="F643" s="42"/>
      <c r="I643" s="42"/>
    </row>
    <row r="644">
      <c r="E644" s="42"/>
      <c r="F644" s="42"/>
      <c r="I644" s="42"/>
    </row>
    <row r="645">
      <c r="E645" s="42"/>
      <c r="F645" s="42"/>
      <c r="I645" s="42"/>
    </row>
    <row r="646">
      <c r="E646" s="42"/>
      <c r="F646" s="42"/>
      <c r="I646" s="42"/>
    </row>
    <row r="647">
      <c r="E647" s="42"/>
      <c r="F647" s="42"/>
      <c r="I647" s="42"/>
    </row>
    <row r="648">
      <c r="E648" s="42"/>
      <c r="F648" s="42"/>
      <c r="I648" s="42"/>
    </row>
    <row r="649">
      <c r="E649" s="42"/>
      <c r="F649" s="42"/>
      <c r="I649" s="42"/>
    </row>
    <row r="650">
      <c r="E650" s="42"/>
      <c r="F650" s="42"/>
      <c r="I650" s="42"/>
    </row>
    <row r="651">
      <c r="E651" s="42"/>
      <c r="F651" s="42"/>
      <c r="I651" s="42"/>
    </row>
    <row r="652">
      <c r="E652" s="42"/>
      <c r="F652" s="42"/>
      <c r="I652" s="42"/>
    </row>
    <row r="653">
      <c r="E653" s="42"/>
      <c r="F653" s="42"/>
      <c r="I653" s="42"/>
    </row>
    <row r="654">
      <c r="E654" s="42"/>
      <c r="F654" s="42"/>
      <c r="I654" s="42"/>
    </row>
    <row r="655">
      <c r="E655" s="42"/>
      <c r="F655" s="42"/>
      <c r="I655" s="42"/>
    </row>
    <row r="656">
      <c r="E656" s="42"/>
      <c r="F656" s="42"/>
      <c r="I656" s="42"/>
    </row>
    <row r="657">
      <c r="E657" s="42"/>
      <c r="F657" s="42"/>
      <c r="I657" s="42"/>
    </row>
    <row r="658">
      <c r="E658" s="42"/>
      <c r="F658" s="42"/>
      <c r="I658" s="42"/>
    </row>
    <row r="659">
      <c r="E659" s="42"/>
      <c r="F659" s="42"/>
      <c r="I659" s="42"/>
    </row>
    <row r="660">
      <c r="E660" s="42"/>
      <c r="F660" s="42"/>
      <c r="I660" s="42"/>
    </row>
    <row r="661">
      <c r="E661" s="42"/>
      <c r="F661" s="42"/>
      <c r="I661" s="42"/>
    </row>
    <row r="662">
      <c r="E662" s="42"/>
      <c r="F662" s="42"/>
      <c r="I662" s="42"/>
    </row>
    <row r="663">
      <c r="E663" s="42"/>
      <c r="F663" s="42"/>
      <c r="I663" s="42"/>
    </row>
    <row r="664">
      <c r="E664" s="42"/>
      <c r="F664" s="42"/>
      <c r="I664" s="42"/>
    </row>
    <row r="665">
      <c r="E665" s="42"/>
      <c r="F665" s="42"/>
      <c r="I665" s="42"/>
    </row>
    <row r="666">
      <c r="E666" s="42"/>
      <c r="F666" s="42"/>
      <c r="I666" s="42"/>
    </row>
    <row r="667">
      <c r="E667" s="42"/>
      <c r="F667" s="42"/>
      <c r="I667" s="42"/>
    </row>
    <row r="668">
      <c r="E668" s="42"/>
      <c r="F668" s="42"/>
      <c r="I668" s="42"/>
    </row>
    <row r="669">
      <c r="E669" s="42"/>
      <c r="F669" s="42"/>
      <c r="I669" s="42"/>
    </row>
    <row r="670">
      <c r="E670" s="42"/>
      <c r="F670" s="42"/>
      <c r="I670" s="42"/>
    </row>
    <row r="671">
      <c r="E671" s="42"/>
      <c r="F671" s="42"/>
      <c r="I671" s="42"/>
    </row>
    <row r="672">
      <c r="E672" s="42"/>
      <c r="F672" s="42"/>
      <c r="I672" s="42"/>
    </row>
    <row r="673">
      <c r="E673" s="42"/>
      <c r="F673" s="42"/>
      <c r="I673" s="42"/>
    </row>
    <row r="674">
      <c r="E674" s="42"/>
      <c r="F674" s="42"/>
      <c r="I674" s="42"/>
    </row>
    <row r="675">
      <c r="E675" s="42"/>
      <c r="F675" s="42"/>
      <c r="I675" s="42"/>
    </row>
    <row r="676">
      <c r="E676" s="42"/>
      <c r="F676" s="42"/>
      <c r="I676" s="42"/>
    </row>
    <row r="677">
      <c r="E677" s="42"/>
      <c r="F677" s="42"/>
      <c r="I677" s="42"/>
    </row>
    <row r="678">
      <c r="E678" s="42"/>
      <c r="F678" s="42"/>
      <c r="I678" s="42"/>
    </row>
    <row r="679">
      <c r="E679" s="42"/>
      <c r="F679" s="42"/>
      <c r="I679" s="42"/>
    </row>
    <row r="680">
      <c r="E680" s="42"/>
      <c r="F680" s="42"/>
      <c r="I680" s="42"/>
    </row>
    <row r="681">
      <c r="E681" s="42"/>
      <c r="F681" s="42"/>
      <c r="I681" s="42"/>
    </row>
    <row r="682">
      <c r="E682" s="42"/>
      <c r="F682" s="42"/>
      <c r="I682" s="42"/>
    </row>
    <row r="683">
      <c r="E683" s="42"/>
      <c r="F683" s="42"/>
      <c r="I683" s="42"/>
    </row>
    <row r="684">
      <c r="E684" s="42"/>
      <c r="F684" s="42"/>
      <c r="I684" s="42"/>
    </row>
    <row r="685">
      <c r="E685" s="42"/>
      <c r="F685" s="42"/>
      <c r="I685" s="42"/>
    </row>
    <row r="686">
      <c r="E686" s="42"/>
      <c r="F686" s="42"/>
      <c r="I686" s="42"/>
    </row>
    <row r="687">
      <c r="E687" s="42"/>
      <c r="F687" s="42"/>
      <c r="I687" s="42"/>
    </row>
    <row r="688">
      <c r="E688" s="42"/>
      <c r="F688" s="42"/>
      <c r="I688" s="42"/>
    </row>
    <row r="689">
      <c r="E689" s="42"/>
      <c r="F689" s="42"/>
      <c r="I689" s="42"/>
    </row>
    <row r="690">
      <c r="E690" s="42"/>
      <c r="F690" s="42"/>
      <c r="I690" s="42"/>
    </row>
    <row r="691">
      <c r="E691" s="42"/>
      <c r="F691" s="42"/>
      <c r="I691" s="42"/>
    </row>
    <row r="692">
      <c r="E692" s="42"/>
      <c r="F692" s="42"/>
      <c r="I692" s="42"/>
    </row>
    <row r="693">
      <c r="E693" s="42"/>
      <c r="F693" s="42"/>
      <c r="I693" s="42"/>
    </row>
    <row r="694">
      <c r="E694" s="42"/>
      <c r="F694" s="42"/>
      <c r="I694" s="42"/>
    </row>
    <row r="695">
      <c r="E695" s="42"/>
      <c r="F695" s="42"/>
      <c r="I695" s="42"/>
    </row>
    <row r="696">
      <c r="E696" s="42"/>
      <c r="F696" s="42"/>
      <c r="I696" s="42"/>
    </row>
    <row r="697">
      <c r="E697" s="42"/>
      <c r="F697" s="42"/>
      <c r="I697" s="42"/>
    </row>
    <row r="698">
      <c r="E698" s="42"/>
      <c r="F698" s="42"/>
      <c r="I698" s="42"/>
    </row>
    <row r="699">
      <c r="E699" s="42"/>
      <c r="F699" s="42"/>
      <c r="I699" s="42"/>
    </row>
    <row r="700">
      <c r="E700" s="42"/>
      <c r="F700" s="42"/>
      <c r="I700" s="42"/>
    </row>
    <row r="701">
      <c r="E701" s="42"/>
      <c r="F701" s="42"/>
      <c r="I701" s="42"/>
    </row>
    <row r="702">
      <c r="E702" s="42"/>
      <c r="F702" s="42"/>
      <c r="I702" s="42"/>
    </row>
    <row r="703">
      <c r="E703" s="42"/>
      <c r="F703" s="42"/>
      <c r="I703" s="42"/>
    </row>
    <row r="704">
      <c r="E704" s="42"/>
      <c r="F704" s="42"/>
      <c r="I704" s="42"/>
    </row>
    <row r="705">
      <c r="E705" s="42"/>
      <c r="F705" s="42"/>
      <c r="I705" s="42"/>
    </row>
    <row r="706">
      <c r="E706" s="42"/>
      <c r="F706" s="42"/>
      <c r="I706" s="42"/>
    </row>
    <row r="707">
      <c r="E707" s="42"/>
      <c r="F707" s="42"/>
      <c r="I707" s="42"/>
    </row>
    <row r="708">
      <c r="E708" s="42"/>
      <c r="F708" s="42"/>
      <c r="I708" s="42"/>
    </row>
    <row r="709">
      <c r="E709" s="42"/>
      <c r="F709" s="42"/>
      <c r="I709" s="42"/>
    </row>
    <row r="710">
      <c r="E710" s="42"/>
      <c r="F710" s="42"/>
      <c r="I710" s="42"/>
    </row>
    <row r="711">
      <c r="E711" s="42"/>
      <c r="F711" s="42"/>
      <c r="I711" s="42"/>
    </row>
    <row r="712">
      <c r="E712" s="42"/>
      <c r="F712" s="42"/>
      <c r="I712" s="42"/>
    </row>
    <row r="713">
      <c r="E713" s="42"/>
      <c r="F713" s="42"/>
      <c r="I713" s="42"/>
    </row>
    <row r="714">
      <c r="E714" s="42"/>
      <c r="F714" s="42"/>
      <c r="I714" s="42"/>
    </row>
    <row r="715">
      <c r="E715" s="42"/>
      <c r="F715" s="42"/>
      <c r="I715" s="42"/>
    </row>
    <row r="716">
      <c r="E716" s="42"/>
      <c r="F716" s="42"/>
      <c r="I716" s="42"/>
    </row>
    <row r="717">
      <c r="E717" s="42"/>
      <c r="F717" s="42"/>
      <c r="I717" s="42"/>
    </row>
    <row r="718">
      <c r="E718" s="42"/>
      <c r="F718" s="42"/>
      <c r="I718" s="42"/>
    </row>
    <row r="719">
      <c r="E719" s="42"/>
      <c r="F719" s="42"/>
      <c r="I719" s="42"/>
    </row>
    <row r="720">
      <c r="E720" s="42"/>
      <c r="F720" s="42"/>
      <c r="I720" s="42"/>
    </row>
    <row r="721">
      <c r="E721" s="42"/>
      <c r="F721" s="42"/>
      <c r="I721" s="42"/>
    </row>
    <row r="722">
      <c r="E722" s="42"/>
      <c r="F722" s="42"/>
      <c r="I722" s="42"/>
    </row>
    <row r="723">
      <c r="E723" s="42"/>
      <c r="F723" s="42"/>
      <c r="I723" s="42"/>
    </row>
    <row r="724">
      <c r="E724" s="42"/>
      <c r="F724" s="42"/>
      <c r="I724" s="42"/>
    </row>
    <row r="725">
      <c r="E725" s="42"/>
      <c r="F725" s="42"/>
      <c r="I725" s="42"/>
    </row>
    <row r="726">
      <c r="E726" s="42"/>
      <c r="F726" s="42"/>
      <c r="I726" s="42"/>
    </row>
    <row r="727">
      <c r="E727" s="42"/>
      <c r="F727" s="42"/>
      <c r="I727" s="42"/>
    </row>
    <row r="728">
      <c r="E728" s="42"/>
      <c r="F728" s="42"/>
      <c r="I728" s="42"/>
    </row>
    <row r="729">
      <c r="E729" s="42"/>
      <c r="F729" s="42"/>
      <c r="I729" s="42"/>
    </row>
    <row r="730">
      <c r="E730" s="42"/>
      <c r="F730" s="42"/>
      <c r="I730" s="42"/>
    </row>
    <row r="731">
      <c r="E731" s="42"/>
      <c r="F731" s="42"/>
      <c r="I731" s="42"/>
    </row>
    <row r="732">
      <c r="E732" s="42"/>
      <c r="F732" s="42"/>
      <c r="I732" s="42"/>
    </row>
    <row r="733">
      <c r="E733" s="42"/>
      <c r="F733" s="42"/>
      <c r="I733" s="42"/>
    </row>
    <row r="734">
      <c r="E734" s="42"/>
      <c r="F734" s="42"/>
      <c r="I734" s="42"/>
    </row>
    <row r="735">
      <c r="E735" s="42"/>
      <c r="F735" s="42"/>
      <c r="I735" s="42"/>
    </row>
    <row r="736">
      <c r="E736" s="42"/>
      <c r="F736" s="42"/>
      <c r="I736" s="42"/>
    </row>
    <row r="737">
      <c r="E737" s="42"/>
      <c r="F737" s="42"/>
      <c r="I737" s="42"/>
    </row>
    <row r="738">
      <c r="E738" s="42"/>
      <c r="F738" s="42"/>
      <c r="I738" s="42"/>
    </row>
    <row r="739">
      <c r="E739" s="42"/>
      <c r="F739" s="42"/>
      <c r="I739" s="42"/>
    </row>
    <row r="740">
      <c r="E740" s="42"/>
      <c r="F740" s="42"/>
      <c r="I740" s="42"/>
    </row>
    <row r="741">
      <c r="E741" s="42"/>
      <c r="F741" s="42"/>
      <c r="I741" s="42"/>
    </row>
    <row r="742">
      <c r="E742" s="42"/>
      <c r="F742" s="42"/>
      <c r="I742" s="42"/>
    </row>
    <row r="743">
      <c r="E743" s="42"/>
      <c r="F743" s="42"/>
      <c r="I743" s="42"/>
    </row>
    <row r="744">
      <c r="E744" s="42"/>
      <c r="F744" s="42"/>
      <c r="I744" s="42"/>
    </row>
    <row r="745">
      <c r="E745" s="42"/>
      <c r="F745" s="42"/>
      <c r="I745" s="42"/>
    </row>
    <row r="746">
      <c r="E746" s="42"/>
      <c r="F746" s="42"/>
      <c r="I746" s="42"/>
    </row>
    <row r="747">
      <c r="E747" s="42"/>
      <c r="F747" s="42"/>
      <c r="I747" s="42"/>
    </row>
    <row r="748">
      <c r="E748" s="42"/>
      <c r="F748" s="42"/>
      <c r="I748" s="42"/>
    </row>
    <row r="749">
      <c r="E749" s="42"/>
      <c r="F749" s="42"/>
      <c r="I749" s="42"/>
    </row>
    <row r="750">
      <c r="E750" s="42"/>
      <c r="F750" s="42"/>
      <c r="I750" s="42"/>
    </row>
    <row r="751">
      <c r="E751" s="42"/>
      <c r="F751" s="42"/>
      <c r="I751" s="42"/>
    </row>
    <row r="752">
      <c r="E752" s="42"/>
      <c r="F752" s="42"/>
      <c r="I752" s="42"/>
    </row>
    <row r="753">
      <c r="E753" s="42"/>
      <c r="F753" s="42"/>
      <c r="I753" s="42"/>
    </row>
    <row r="754">
      <c r="E754" s="42"/>
      <c r="F754" s="42"/>
      <c r="I754" s="42"/>
    </row>
    <row r="755">
      <c r="E755" s="42"/>
      <c r="F755" s="42"/>
      <c r="I755" s="42"/>
    </row>
    <row r="756">
      <c r="E756" s="42"/>
      <c r="F756" s="42"/>
      <c r="I756" s="42"/>
    </row>
    <row r="757">
      <c r="E757" s="42"/>
      <c r="F757" s="42"/>
      <c r="I757" s="42"/>
    </row>
    <row r="758">
      <c r="E758" s="42"/>
      <c r="F758" s="42"/>
      <c r="I758" s="42"/>
    </row>
    <row r="759">
      <c r="E759" s="42"/>
      <c r="F759" s="42"/>
      <c r="I759" s="42"/>
    </row>
    <row r="760">
      <c r="E760" s="42"/>
      <c r="F760" s="42"/>
      <c r="I760" s="42"/>
    </row>
    <row r="761">
      <c r="E761" s="42"/>
      <c r="F761" s="42"/>
      <c r="I761" s="42"/>
    </row>
    <row r="762">
      <c r="E762" s="42"/>
      <c r="F762" s="42"/>
      <c r="I762" s="42"/>
    </row>
    <row r="763">
      <c r="E763" s="42"/>
      <c r="F763" s="42"/>
      <c r="I763" s="42"/>
    </row>
    <row r="764">
      <c r="E764" s="42"/>
      <c r="F764" s="42"/>
      <c r="I764" s="42"/>
    </row>
    <row r="765">
      <c r="E765" s="42"/>
      <c r="F765" s="42"/>
      <c r="I765" s="42"/>
    </row>
    <row r="766">
      <c r="E766" s="42"/>
      <c r="F766" s="42"/>
      <c r="I766" s="42"/>
    </row>
    <row r="767">
      <c r="E767" s="42"/>
      <c r="F767" s="42"/>
      <c r="I767" s="42"/>
    </row>
    <row r="768">
      <c r="E768" s="42"/>
      <c r="F768" s="42"/>
      <c r="I768" s="42"/>
    </row>
    <row r="769">
      <c r="E769" s="42"/>
      <c r="F769" s="42"/>
      <c r="I769" s="42"/>
    </row>
    <row r="770">
      <c r="E770" s="42"/>
      <c r="F770" s="42"/>
      <c r="I770" s="42"/>
    </row>
    <row r="771">
      <c r="E771" s="42"/>
      <c r="F771" s="42"/>
      <c r="I771" s="42"/>
    </row>
    <row r="772">
      <c r="E772" s="42"/>
      <c r="F772" s="42"/>
      <c r="I772" s="42"/>
    </row>
    <row r="773">
      <c r="E773" s="42"/>
      <c r="F773" s="42"/>
      <c r="I773" s="42"/>
    </row>
    <row r="774">
      <c r="E774" s="42"/>
      <c r="F774" s="42"/>
      <c r="I774" s="42"/>
    </row>
    <row r="775">
      <c r="E775" s="42"/>
      <c r="F775" s="42"/>
      <c r="I775" s="42"/>
    </row>
    <row r="776">
      <c r="E776" s="42"/>
      <c r="F776" s="42"/>
      <c r="I776" s="42"/>
    </row>
    <row r="777">
      <c r="E777" s="42"/>
      <c r="F777" s="42"/>
      <c r="I777" s="42"/>
    </row>
    <row r="778">
      <c r="E778" s="42"/>
      <c r="F778" s="42"/>
      <c r="I778" s="42"/>
    </row>
    <row r="779">
      <c r="E779" s="42"/>
      <c r="F779" s="42"/>
      <c r="I779" s="42"/>
    </row>
    <row r="780">
      <c r="E780" s="42"/>
      <c r="F780" s="42"/>
      <c r="I780" s="42"/>
    </row>
    <row r="781">
      <c r="E781" s="42"/>
      <c r="F781" s="42"/>
      <c r="I781" s="42"/>
    </row>
    <row r="782">
      <c r="E782" s="42"/>
      <c r="F782" s="42"/>
      <c r="I782" s="42"/>
    </row>
    <row r="783">
      <c r="E783" s="42"/>
      <c r="F783" s="42"/>
      <c r="I783" s="42"/>
    </row>
    <row r="784">
      <c r="E784" s="42"/>
      <c r="F784" s="42"/>
      <c r="I784" s="42"/>
    </row>
    <row r="785">
      <c r="E785" s="42"/>
      <c r="F785" s="42"/>
      <c r="I785" s="42"/>
    </row>
    <row r="786">
      <c r="E786" s="42"/>
      <c r="F786" s="42"/>
      <c r="I786" s="42"/>
    </row>
    <row r="787">
      <c r="E787" s="42"/>
      <c r="F787" s="42"/>
      <c r="I787" s="42"/>
    </row>
    <row r="788">
      <c r="E788" s="42"/>
      <c r="F788" s="42"/>
      <c r="I788" s="42"/>
    </row>
    <row r="789">
      <c r="E789" s="42"/>
      <c r="F789" s="42"/>
      <c r="I789" s="42"/>
    </row>
    <row r="790">
      <c r="E790" s="42"/>
      <c r="F790" s="42"/>
      <c r="I790" s="42"/>
    </row>
    <row r="791">
      <c r="E791" s="42"/>
      <c r="F791" s="42"/>
      <c r="I791" s="42"/>
    </row>
    <row r="792">
      <c r="E792" s="42"/>
      <c r="F792" s="42"/>
      <c r="I792" s="42"/>
    </row>
    <row r="793">
      <c r="E793" s="42"/>
      <c r="F793" s="42"/>
      <c r="I793" s="42"/>
    </row>
    <row r="794">
      <c r="E794" s="42"/>
      <c r="F794" s="42"/>
      <c r="I794" s="42"/>
    </row>
    <row r="795">
      <c r="E795" s="42"/>
      <c r="F795" s="42"/>
      <c r="I795" s="42"/>
    </row>
    <row r="796">
      <c r="E796" s="42"/>
      <c r="F796" s="42"/>
      <c r="I796" s="42"/>
    </row>
    <row r="797">
      <c r="E797" s="42"/>
      <c r="F797" s="42"/>
      <c r="I797" s="42"/>
    </row>
    <row r="798">
      <c r="E798" s="42"/>
      <c r="F798" s="42"/>
      <c r="I798" s="42"/>
    </row>
    <row r="799">
      <c r="E799" s="42"/>
      <c r="F799" s="42"/>
      <c r="I799" s="42"/>
    </row>
    <row r="800">
      <c r="E800" s="42"/>
      <c r="F800" s="42"/>
      <c r="I800" s="42"/>
    </row>
    <row r="801">
      <c r="E801" s="42"/>
      <c r="F801" s="42"/>
      <c r="I801" s="42"/>
    </row>
    <row r="802">
      <c r="E802" s="42"/>
      <c r="F802" s="42"/>
      <c r="I802" s="42"/>
    </row>
    <row r="803">
      <c r="E803" s="42"/>
      <c r="F803" s="42"/>
      <c r="I803" s="42"/>
    </row>
    <row r="804">
      <c r="E804" s="42"/>
      <c r="F804" s="42"/>
      <c r="I804" s="42"/>
    </row>
    <row r="805">
      <c r="E805" s="42"/>
      <c r="F805" s="42"/>
      <c r="I805" s="42"/>
    </row>
    <row r="806">
      <c r="E806" s="42"/>
      <c r="F806" s="42"/>
      <c r="I806" s="42"/>
    </row>
    <row r="807">
      <c r="E807" s="42"/>
      <c r="F807" s="42"/>
      <c r="I807" s="42"/>
    </row>
    <row r="808">
      <c r="E808" s="42"/>
      <c r="F808" s="42"/>
      <c r="I808" s="42"/>
    </row>
    <row r="809">
      <c r="E809" s="42"/>
      <c r="F809" s="42"/>
      <c r="I809" s="42"/>
    </row>
    <row r="810">
      <c r="E810" s="42"/>
      <c r="F810" s="42"/>
      <c r="I810" s="42"/>
    </row>
    <row r="811">
      <c r="E811" s="42"/>
      <c r="F811" s="42"/>
      <c r="I811" s="42"/>
    </row>
    <row r="812">
      <c r="E812" s="42"/>
      <c r="F812" s="42"/>
      <c r="I812" s="42"/>
    </row>
    <row r="813">
      <c r="E813" s="42"/>
      <c r="F813" s="42"/>
      <c r="I813" s="42"/>
    </row>
    <row r="814">
      <c r="E814" s="42"/>
      <c r="F814" s="42"/>
      <c r="I814" s="42"/>
    </row>
    <row r="815">
      <c r="E815" s="42"/>
      <c r="F815" s="42"/>
      <c r="I815" s="42"/>
    </row>
    <row r="816">
      <c r="E816" s="42"/>
      <c r="F816" s="42"/>
      <c r="I816" s="42"/>
    </row>
    <row r="817">
      <c r="E817" s="42"/>
      <c r="F817" s="42"/>
      <c r="I817" s="42"/>
    </row>
    <row r="818">
      <c r="E818" s="42"/>
      <c r="F818" s="42"/>
      <c r="I818" s="42"/>
    </row>
    <row r="819">
      <c r="E819" s="42"/>
      <c r="F819" s="42"/>
      <c r="I819" s="42"/>
    </row>
    <row r="820">
      <c r="E820" s="42"/>
      <c r="F820" s="42"/>
      <c r="I820" s="42"/>
    </row>
    <row r="821">
      <c r="E821" s="42"/>
      <c r="F821" s="42"/>
      <c r="I821" s="42"/>
    </row>
    <row r="822">
      <c r="E822" s="42"/>
      <c r="F822" s="42"/>
      <c r="I822" s="42"/>
    </row>
    <row r="823">
      <c r="E823" s="42"/>
      <c r="F823" s="42"/>
      <c r="I823" s="42"/>
    </row>
    <row r="824">
      <c r="E824" s="42"/>
      <c r="F824" s="42"/>
      <c r="I824" s="42"/>
    </row>
    <row r="825">
      <c r="E825" s="42"/>
      <c r="F825" s="42"/>
      <c r="I825" s="42"/>
    </row>
    <row r="826">
      <c r="E826" s="42"/>
      <c r="F826" s="42"/>
      <c r="I826" s="42"/>
    </row>
    <row r="827">
      <c r="E827" s="42"/>
      <c r="F827" s="42"/>
      <c r="I827" s="42"/>
    </row>
    <row r="828">
      <c r="E828" s="42"/>
      <c r="F828" s="42"/>
      <c r="I828" s="42"/>
    </row>
    <row r="829">
      <c r="E829" s="42"/>
      <c r="F829" s="42"/>
      <c r="I829" s="42"/>
    </row>
    <row r="830">
      <c r="E830" s="42"/>
      <c r="F830" s="42"/>
      <c r="I830" s="42"/>
    </row>
    <row r="831">
      <c r="E831" s="42"/>
      <c r="F831" s="42"/>
      <c r="I831" s="42"/>
    </row>
    <row r="832">
      <c r="E832" s="42"/>
      <c r="F832" s="42"/>
      <c r="I832" s="42"/>
    </row>
    <row r="833">
      <c r="E833" s="42"/>
      <c r="F833" s="42"/>
      <c r="I833" s="42"/>
    </row>
    <row r="834">
      <c r="E834" s="42"/>
      <c r="F834" s="42"/>
      <c r="I834" s="42"/>
    </row>
    <row r="835">
      <c r="E835" s="42"/>
      <c r="F835" s="42"/>
      <c r="I835" s="42"/>
    </row>
    <row r="836">
      <c r="E836" s="42"/>
      <c r="F836" s="42"/>
      <c r="I836" s="42"/>
    </row>
    <row r="837">
      <c r="E837" s="42"/>
      <c r="F837" s="42"/>
      <c r="I837" s="42"/>
    </row>
    <row r="838">
      <c r="E838" s="42"/>
      <c r="F838" s="42"/>
      <c r="I838" s="42"/>
    </row>
    <row r="839">
      <c r="E839" s="42"/>
      <c r="F839" s="42"/>
      <c r="I839" s="42"/>
    </row>
    <row r="840">
      <c r="E840" s="42"/>
      <c r="F840" s="42"/>
      <c r="I840" s="42"/>
    </row>
    <row r="841">
      <c r="E841" s="42"/>
      <c r="F841" s="42"/>
      <c r="I841" s="42"/>
    </row>
    <row r="842">
      <c r="E842" s="42"/>
      <c r="F842" s="42"/>
      <c r="I842" s="42"/>
    </row>
    <row r="843">
      <c r="E843" s="42"/>
      <c r="F843" s="42"/>
      <c r="I843" s="42"/>
    </row>
    <row r="844">
      <c r="E844" s="42"/>
      <c r="F844" s="42"/>
      <c r="I844" s="42"/>
    </row>
    <row r="845">
      <c r="E845" s="42"/>
      <c r="F845" s="42"/>
      <c r="I845" s="42"/>
    </row>
    <row r="846">
      <c r="E846" s="42"/>
      <c r="F846" s="42"/>
      <c r="I846" s="42"/>
    </row>
    <row r="847">
      <c r="E847" s="42"/>
      <c r="F847" s="42"/>
      <c r="I847" s="42"/>
    </row>
    <row r="848">
      <c r="E848" s="42"/>
      <c r="F848" s="42"/>
      <c r="I848" s="42"/>
    </row>
    <row r="849">
      <c r="E849" s="42"/>
      <c r="F849" s="42"/>
      <c r="I849" s="42"/>
    </row>
    <row r="850">
      <c r="E850" s="42"/>
      <c r="F850" s="42"/>
      <c r="I850" s="42"/>
    </row>
    <row r="851">
      <c r="E851" s="42"/>
      <c r="F851" s="42"/>
      <c r="I851" s="42"/>
    </row>
    <row r="852">
      <c r="E852" s="42"/>
      <c r="F852" s="42"/>
      <c r="I852" s="42"/>
    </row>
    <row r="853">
      <c r="E853" s="42"/>
      <c r="F853" s="42"/>
      <c r="I853" s="42"/>
    </row>
    <row r="854">
      <c r="E854" s="42"/>
      <c r="F854" s="42"/>
      <c r="I854" s="42"/>
    </row>
    <row r="855">
      <c r="E855" s="42"/>
      <c r="F855" s="42"/>
      <c r="I855" s="42"/>
    </row>
    <row r="856">
      <c r="E856" s="42"/>
      <c r="F856" s="42"/>
      <c r="I856" s="42"/>
    </row>
    <row r="857">
      <c r="E857" s="42"/>
      <c r="F857" s="42"/>
      <c r="I857" s="42"/>
    </row>
    <row r="858">
      <c r="E858" s="42"/>
      <c r="F858" s="42"/>
      <c r="I858" s="42"/>
    </row>
    <row r="859">
      <c r="E859" s="42"/>
      <c r="F859" s="42"/>
      <c r="I859" s="42"/>
    </row>
    <row r="860">
      <c r="E860" s="42"/>
      <c r="F860" s="42"/>
      <c r="I860" s="42"/>
    </row>
    <row r="861">
      <c r="E861" s="42"/>
      <c r="F861" s="42"/>
      <c r="I861" s="42"/>
    </row>
    <row r="862">
      <c r="E862" s="42"/>
      <c r="F862" s="42"/>
      <c r="I862" s="42"/>
    </row>
    <row r="863">
      <c r="E863" s="42"/>
      <c r="F863" s="42"/>
      <c r="I863" s="42"/>
    </row>
    <row r="864">
      <c r="E864" s="42"/>
      <c r="F864" s="42"/>
      <c r="I864" s="42"/>
    </row>
    <row r="865">
      <c r="E865" s="42"/>
      <c r="F865" s="42"/>
      <c r="I865" s="42"/>
    </row>
    <row r="866">
      <c r="E866" s="42"/>
      <c r="F866" s="42"/>
      <c r="I866" s="42"/>
    </row>
    <row r="867">
      <c r="E867" s="42"/>
      <c r="F867" s="42"/>
      <c r="I867" s="42"/>
    </row>
    <row r="868">
      <c r="E868" s="42"/>
      <c r="F868" s="42"/>
      <c r="I868" s="42"/>
    </row>
    <row r="869">
      <c r="E869" s="42"/>
      <c r="F869" s="42"/>
      <c r="I869" s="42"/>
    </row>
    <row r="870">
      <c r="E870" s="42"/>
      <c r="F870" s="42"/>
      <c r="I870" s="42"/>
    </row>
    <row r="871">
      <c r="E871" s="42"/>
      <c r="F871" s="42"/>
      <c r="I871" s="42"/>
    </row>
    <row r="872">
      <c r="E872" s="42"/>
      <c r="F872" s="42"/>
      <c r="I872" s="42"/>
    </row>
    <row r="873">
      <c r="E873" s="42"/>
      <c r="F873" s="42"/>
      <c r="I873" s="42"/>
    </row>
    <row r="874">
      <c r="E874" s="42"/>
      <c r="F874" s="42"/>
      <c r="I874" s="42"/>
    </row>
    <row r="875">
      <c r="E875" s="42"/>
      <c r="F875" s="42"/>
      <c r="I875" s="42"/>
    </row>
    <row r="876">
      <c r="E876" s="42"/>
      <c r="F876" s="42"/>
      <c r="I876" s="42"/>
    </row>
    <row r="877">
      <c r="E877" s="42"/>
      <c r="F877" s="42"/>
      <c r="I877" s="42"/>
    </row>
    <row r="878">
      <c r="E878" s="42"/>
      <c r="F878" s="42"/>
      <c r="I878" s="42"/>
    </row>
    <row r="879">
      <c r="E879" s="42"/>
      <c r="F879" s="42"/>
      <c r="I879" s="42"/>
    </row>
    <row r="880">
      <c r="E880" s="42"/>
      <c r="F880" s="42"/>
      <c r="I880" s="42"/>
    </row>
    <row r="881">
      <c r="E881" s="42"/>
      <c r="F881" s="42"/>
      <c r="I881" s="42"/>
    </row>
    <row r="882">
      <c r="E882" s="42"/>
      <c r="F882" s="42"/>
      <c r="I882" s="42"/>
    </row>
    <row r="883">
      <c r="E883" s="42"/>
      <c r="F883" s="42"/>
      <c r="I883" s="42"/>
    </row>
    <row r="884">
      <c r="E884" s="42"/>
      <c r="F884" s="42"/>
      <c r="I884" s="42"/>
    </row>
    <row r="885">
      <c r="E885" s="42"/>
      <c r="F885" s="42"/>
      <c r="I885" s="42"/>
    </row>
    <row r="886">
      <c r="E886" s="42"/>
      <c r="F886" s="42"/>
      <c r="I886" s="42"/>
    </row>
    <row r="887">
      <c r="E887" s="42"/>
      <c r="F887" s="42"/>
      <c r="I887" s="42"/>
    </row>
    <row r="888">
      <c r="E888" s="42"/>
      <c r="F888" s="42"/>
      <c r="I888" s="42"/>
    </row>
    <row r="889">
      <c r="E889" s="42"/>
      <c r="F889" s="42"/>
      <c r="I889" s="42"/>
    </row>
    <row r="890">
      <c r="E890" s="42"/>
      <c r="F890" s="42"/>
      <c r="I890" s="42"/>
    </row>
    <row r="891">
      <c r="E891" s="42"/>
      <c r="F891" s="42"/>
      <c r="I891" s="42"/>
    </row>
    <row r="892">
      <c r="E892" s="42"/>
      <c r="F892" s="42"/>
      <c r="I892" s="42"/>
    </row>
    <row r="893">
      <c r="E893" s="42"/>
      <c r="F893" s="42"/>
      <c r="I893" s="42"/>
    </row>
    <row r="894">
      <c r="E894" s="42"/>
      <c r="F894" s="42"/>
      <c r="I894" s="42"/>
    </row>
    <row r="895">
      <c r="E895" s="42"/>
      <c r="F895" s="42"/>
      <c r="I895" s="42"/>
    </row>
    <row r="896">
      <c r="E896" s="42"/>
      <c r="F896" s="42"/>
      <c r="I896" s="42"/>
    </row>
    <row r="897">
      <c r="E897" s="42"/>
      <c r="F897" s="42"/>
      <c r="I897" s="42"/>
    </row>
    <row r="898">
      <c r="E898" s="42"/>
      <c r="F898" s="42"/>
      <c r="I898" s="42"/>
    </row>
    <row r="899">
      <c r="E899" s="42"/>
      <c r="F899" s="42"/>
      <c r="I899" s="42"/>
    </row>
    <row r="900">
      <c r="E900" s="42"/>
      <c r="F900" s="42"/>
      <c r="I900" s="42"/>
    </row>
    <row r="901">
      <c r="E901" s="42"/>
      <c r="F901" s="42"/>
      <c r="I901" s="42"/>
    </row>
    <row r="902">
      <c r="E902" s="42"/>
      <c r="F902" s="42"/>
      <c r="I902" s="42"/>
    </row>
    <row r="903">
      <c r="E903" s="42"/>
      <c r="F903" s="42"/>
      <c r="I903" s="42"/>
    </row>
    <row r="904">
      <c r="E904" s="42"/>
      <c r="F904" s="42"/>
      <c r="I904" s="42"/>
    </row>
    <row r="905">
      <c r="E905" s="42"/>
      <c r="F905" s="42"/>
      <c r="I905" s="42"/>
    </row>
    <row r="906">
      <c r="E906" s="42"/>
      <c r="F906" s="42"/>
      <c r="I906" s="42"/>
    </row>
    <row r="907">
      <c r="E907" s="42"/>
      <c r="F907" s="42"/>
      <c r="I907" s="42"/>
    </row>
    <row r="908">
      <c r="E908" s="42"/>
      <c r="F908" s="42"/>
      <c r="I908" s="42"/>
    </row>
    <row r="909">
      <c r="E909" s="42"/>
      <c r="F909" s="42"/>
      <c r="I909" s="42"/>
    </row>
    <row r="910">
      <c r="E910" s="42"/>
      <c r="F910" s="42"/>
      <c r="I910" s="42"/>
    </row>
    <row r="911">
      <c r="E911" s="42"/>
      <c r="F911" s="42"/>
      <c r="I911" s="42"/>
    </row>
    <row r="912">
      <c r="E912" s="42"/>
      <c r="F912" s="42"/>
      <c r="I912" s="42"/>
    </row>
    <row r="913">
      <c r="E913" s="42"/>
      <c r="F913" s="42"/>
      <c r="I913" s="42"/>
    </row>
    <row r="914">
      <c r="E914" s="42"/>
      <c r="F914" s="42"/>
      <c r="I914" s="42"/>
    </row>
    <row r="915">
      <c r="E915" s="42"/>
      <c r="F915" s="42"/>
      <c r="I915" s="42"/>
    </row>
    <row r="916">
      <c r="E916" s="42"/>
      <c r="F916" s="42"/>
      <c r="I916" s="42"/>
    </row>
    <row r="917">
      <c r="E917" s="42"/>
      <c r="F917" s="42"/>
      <c r="I917" s="42"/>
    </row>
    <row r="918">
      <c r="E918" s="42"/>
      <c r="F918" s="42"/>
      <c r="I918" s="42"/>
    </row>
    <row r="919">
      <c r="E919" s="42"/>
      <c r="F919" s="42"/>
      <c r="I919" s="42"/>
    </row>
    <row r="920">
      <c r="E920" s="42"/>
      <c r="F920" s="42"/>
      <c r="I920" s="42"/>
    </row>
    <row r="921">
      <c r="E921" s="42"/>
      <c r="F921" s="42"/>
      <c r="I921" s="42"/>
    </row>
    <row r="922">
      <c r="E922" s="42"/>
      <c r="F922" s="42"/>
      <c r="I922" s="42"/>
    </row>
    <row r="923">
      <c r="E923" s="42"/>
      <c r="F923" s="42"/>
      <c r="I923" s="42"/>
    </row>
    <row r="924">
      <c r="E924" s="42"/>
      <c r="F924" s="42"/>
      <c r="I924" s="42"/>
    </row>
    <row r="925">
      <c r="E925" s="42"/>
      <c r="F925" s="42"/>
      <c r="I925" s="42"/>
    </row>
    <row r="926">
      <c r="E926" s="42"/>
      <c r="F926" s="42"/>
      <c r="I926" s="42"/>
    </row>
    <row r="927">
      <c r="E927" s="42"/>
      <c r="F927" s="42"/>
      <c r="I927" s="42"/>
    </row>
    <row r="928">
      <c r="E928" s="42"/>
      <c r="F928" s="42"/>
      <c r="I928" s="42"/>
    </row>
    <row r="929">
      <c r="E929" s="42"/>
      <c r="F929" s="42"/>
      <c r="I929" s="42"/>
    </row>
    <row r="930">
      <c r="E930" s="42"/>
      <c r="F930" s="42"/>
      <c r="I930" s="42"/>
    </row>
    <row r="931">
      <c r="E931" s="42"/>
      <c r="F931" s="42"/>
      <c r="I931" s="42"/>
    </row>
    <row r="932">
      <c r="E932" s="42"/>
      <c r="F932" s="42"/>
      <c r="I932" s="42"/>
    </row>
    <row r="933">
      <c r="E933" s="42"/>
      <c r="F933" s="42"/>
      <c r="I933" s="42"/>
    </row>
    <row r="934">
      <c r="E934" s="42"/>
      <c r="F934" s="42"/>
      <c r="I934" s="42"/>
    </row>
    <row r="935">
      <c r="E935" s="42"/>
      <c r="F935" s="42"/>
      <c r="I935" s="42"/>
    </row>
    <row r="936">
      <c r="E936" s="42"/>
      <c r="F936" s="42"/>
      <c r="I936" s="42"/>
    </row>
    <row r="937">
      <c r="E937" s="42"/>
      <c r="F937" s="42"/>
      <c r="I937" s="42"/>
    </row>
    <row r="938">
      <c r="E938" s="42"/>
      <c r="F938" s="42"/>
      <c r="I938" s="42"/>
    </row>
    <row r="939">
      <c r="E939" s="42"/>
      <c r="F939" s="42"/>
      <c r="I939" s="42"/>
    </row>
    <row r="940">
      <c r="E940" s="42"/>
      <c r="F940" s="42"/>
      <c r="I940" s="42"/>
    </row>
    <row r="941">
      <c r="E941" s="42"/>
      <c r="F941" s="42"/>
      <c r="I941" s="42"/>
    </row>
    <row r="942">
      <c r="E942" s="42"/>
      <c r="F942" s="42"/>
      <c r="I942" s="42"/>
    </row>
    <row r="943">
      <c r="E943" s="42"/>
      <c r="F943" s="42"/>
      <c r="I943" s="42"/>
    </row>
    <row r="944">
      <c r="E944" s="42"/>
      <c r="F944" s="42"/>
      <c r="I944" s="42"/>
    </row>
    <row r="945">
      <c r="E945" s="42"/>
      <c r="F945" s="42"/>
      <c r="I945" s="42"/>
    </row>
    <row r="946">
      <c r="E946" s="42"/>
      <c r="F946" s="42"/>
      <c r="I946" s="42"/>
    </row>
    <row r="947">
      <c r="E947" s="42"/>
      <c r="F947" s="42"/>
      <c r="I947" s="42"/>
    </row>
    <row r="948">
      <c r="E948" s="42"/>
      <c r="F948" s="42"/>
      <c r="I948" s="42"/>
    </row>
    <row r="949">
      <c r="E949" s="42"/>
      <c r="F949" s="42"/>
      <c r="I949" s="42"/>
    </row>
    <row r="950">
      <c r="E950" s="42"/>
      <c r="F950" s="42"/>
      <c r="I950" s="42"/>
    </row>
    <row r="951">
      <c r="E951" s="42"/>
      <c r="F951" s="42"/>
      <c r="I951" s="42"/>
    </row>
    <row r="952">
      <c r="E952" s="42"/>
      <c r="F952" s="42"/>
      <c r="I952" s="42"/>
    </row>
    <row r="953">
      <c r="E953" s="42"/>
      <c r="F953" s="42"/>
      <c r="I953" s="42"/>
    </row>
    <row r="954">
      <c r="E954" s="42"/>
      <c r="F954" s="42"/>
      <c r="I954" s="42"/>
    </row>
    <row r="955">
      <c r="E955" s="42"/>
      <c r="F955" s="42"/>
      <c r="I955" s="42"/>
    </row>
    <row r="956">
      <c r="E956" s="42"/>
      <c r="F956" s="42"/>
      <c r="I956" s="42"/>
    </row>
    <row r="957">
      <c r="E957" s="42"/>
      <c r="F957" s="42"/>
      <c r="I957" s="42"/>
    </row>
    <row r="958">
      <c r="E958" s="42"/>
      <c r="F958" s="42"/>
      <c r="I958" s="42"/>
    </row>
    <row r="959">
      <c r="E959" s="42"/>
      <c r="F959" s="42"/>
      <c r="I959" s="42"/>
    </row>
    <row r="960">
      <c r="E960" s="42"/>
      <c r="F960" s="42"/>
      <c r="I960" s="42"/>
    </row>
    <row r="961">
      <c r="E961" s="42"/>
      <c r="F961" s="42"/>
      <c r="I961" s="42"/>
    </row>
    <row r="962">
      <c r="E962" s="42"/>
      <c r="F962" s="42"/>
      <c r="I962" s="42"/>
    </row>
    <row r="963">
      <c r="E963" s="42"/>
      <c r="F963" s="42"/>
      <c r="I963" s="42"/>
    </row>
    <row r="964">
      <c r="E964" s="42"/>
      <c r="F964" s="42"/>
      <c r="I964" s="42"/>
    </row>
    <row r="965">
      <c r="E965" s="42"/>
      <c r="F965" s="42"/>
      <c r="I965" s="42"/>
    </row>
    <row r="966">
      <c r="E966" s="42"/>
      <c r="F966" s="42"/>
      <c r="I966" s="42"/>
    </row>
    <row r="967">
      <c r="E967" s="42"/>
      <c r="F967" s="42"/>
      <c r="I967" s="42"/>
    </row>
    <row r="968">
      <c r="E968" s="42"/>
      <c r="F968" s="42"/>
      <c r="I968" s="42"/>
    </row>
    <row r="969">
      <c r="E969" s="42"/>
      <c r="F969" s="42"/>
      <c r="I969" s="42"/>
    </row>
    <row r="970">
      <c r="E970" s="42"/>
      <c r="F970" s="42"/>
      <c r="I970" s="42"/>
    </row>
    <row r="971">
      <c r="E971" s="42"/>
      <c r="F971" s="42"/>
      <c r="I971" s="42"/>
    </row>
    <row r="972">
      <c r="E972" s="42"/>
      <c r="F972" s="42"/>
      <c r="I972" s="42"/>
    </row>
    <row r="973">
      <c r="E973" s="42"/>
      <c r="F973" s="42"/>
      <c r="I973" s="42"/>
    </row>
    <row r="974">
      <c r="E974" s="42"/>
      <c r="F974" s="42"/>
      <c r="I974" s="42"/>
    </row>
    <row r="975">
      <c r="E975" s="42"/>
      <c r="F975" s="42"/>
      <c r="I975" s="42"/>
    </row>
    <row r="976">
      <c r="E976" s="42"/>
      <c r="F976" s="42"/>
      <c r="I976" s="42"/>
    </row>
    <row r="977">
      <c r="E977" s="42"/>
      <c r="F977" s="42"/>
      <c r="I977" s="42"/>
    </row>
    <row r="978">
      <c r="E978" s="42"/>
      <c r="F978" s="42"/>
      <c r="I978" s="42"/>
    </row>
    <row r="979">
      <c r="E979" s="42"/>
      <c r="F979" s="42"/>
      <c r="I979" s="42"/>
    </row>
    <row r="980">
      <c r="E980" s="42"/>
      <c r="F980" s="42"/>
      <c r="I980" s="42"/>
    </row>
    <row r="981">
      <c r="E981" s="42"/>
      <c r="F981" s="42"/>
      <c r="I981" s="42"/>
    </row>
    <row r="982">
      <c r="E982" s="42"/>
      <c r="F982" s="42"/>
      <c r="I982" s="42"/>
    </row>
    <row r="983">
      <c r="E983" s="42"/>
      <c r="F983" s="42"/>
      <c r="I983" s="42"/>
    </row>
    <row r="984">
      <c r="E984" s="42"/>
      <c r="F984" s="42"/>
      <c r="I984" s="42"/>
    </row>
    <row r="985">
      <c r="E985" s="42"/>
      <c r="F985" s="42"/>
      <c r="I985" s="42"/>
    </row>
    <row r="986">
      <c r="E986" s="42"/>
      <c r="F986" s="42"/>
      <c r="I986" s="42"/>
    </row>
    <row r="987">
      <c r="E987" s="42"/>
      <c r="F987" s="42"/>
      <c r="I987" s="42"/>
    </row>
    <row r="988">
      <c r="E988" s="42"/>
      <c r="F988" s="42"/>
      <c r="I988" s="42"/>
    </row>
    <row r="989">
      <c r="E989" s="42"/>
      <c r="F989" s="42"/>
      <c r="I989" s="42"/>
    </row>
    <row r="990">
      <c r="E990" s="42"/>
      <c r="F990" s="42"/>
      <c r="I990" s="42"/>
    </row>
    <row r="991">
      <c r="E991" s="42"/>
      <c r="F991" s="42"/>
      <c r="I991" s="42"/>
    </row>
    <row r="992">
      <c r="E992" s="42"/>
      <c r="F992" s="42"/>
      <c r="I992" s="42"/>
    </row>
    <row r="993">
      <c r="E993" s="42"/>
      <c r="F993" s="42"/>
      <c r="I993" s="42"/>
    </row>
    <row r="994">
      <c r="E994" s="42"/>
      <c r="F994" s="42"/>
      <c r="I994" s="42"/>
    </row>
    <row r="995">
      <c r="E995" s="42"/>
      <c r="F995" s="42"/>
      <c r="I995" s="42"/>
    </row>
    <row r="996">
      <c r="E996" s="42"/>
      <c r="F996" s="42"/>
      <c r="I996" s="42"/>
    </row>
    <row r="997">
      <c r="E997" s="42"/>
      <c r="F997" s="42"/>
      <c r="I997" s="42"/>
    </row>
    <row r="998">
      <c r="E998" s="42"/>
      <c r="F998" s="42"/>
      <c r="I998" s="42"/>
    </row>
    <row r="999">
      <c r="E999" s="42"/>
      <c r="F999" s="42"/>
      <c r="I999" s="42"/>
    </row>
    <row r="1000">
      <c r="E1000" s="42"/>
      <c r="F1000" s="42"/>
      <c r="I1000" s="42"/>
    </row>
  </sheetData>
  <autoFilter ref="$A$1:$I$111">
    <filterColumn colId="1">
      <filters>
        <filter val="Corporativa"/>
      </filters>
    </filterColumn>
    <filterColumn colId="2">
      <filters>
        <filter val="Grande"/>
      </filters>
    </filterColumn>
  </autoFil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20.0"/>
    <col customWidth="1" min="3" max="3" width="29.25"/>
    <col customWidth="1" min="4" max="4" width="21.13"/>
    <col customWidth="1" min="5" max="5" width="24.75"/>
  </cols>
  <sheetData>
    <row r="1">
      <c r="A1" s="1" t="s">
        <v>197</v>
      </c>
      <c r="B1" s="1" t="s">
        <v>198</v>
      </c>
      <c r="C1" s="43" t="s">
        <v>199</v>
      </c>
      <c r="D1" s="1" t="s">
        <v>200</v>
      </c>
      <c r="E1" s="43" t="s">
        <v>201</v>
      </c>
    </row>
    <row r="2">
      <c r="A2" s="1" t="s">
        <v>202</v>
      </c>
      <c r="B2" s="1">
        <v>5.0</v>
      </c>
      <c r="C2" s="43" t="s">
        <v>203</v>
      </c>
      <c r="D2" s="1">
        <v>12.0</v>
      </c>
      <c r="E2" s="43" t="s">
        <v>204</v>
      </c>
    </row>
    <row r="3">
      <c r="A3" s="1" t="s">
        <v>205</v>
      </c>
      <c r="B3" s="1">
        <v>6.0</v>
      </c>
      <c r="C3" s="43" t="s">
        <v>206</v>
      </c>
      <c r="D3" s="1">
        <v>5.0</v>
      </c>
      <c r="E3" s="43" t="s">
        <v>207</v>
      </c>
    </row>
    <row r="4">
      <c r="A4" s="1" t="s">
        <v>208</v>
      </c>
      <c r="B4" s="1">
        <v>4.0</v>
      </c>
      <c r="C4" s="43" t="s">
        <v>209</v>
      </c>
      <c r="D4" s="1">
        <v>5.0</v>
      </c>
      <c r="E4" s="43" t="s">
        <v>210</v>
      </c>
    </row>
    <row r="5">
      <c r="A5" s="1" t="s">
        <v>211</v>
      </c>
      <c r="B5" s="1">
        <v>8.0</v>
      </c>
      <c r="C5" s="43" t="s">
        <v>212</v>
      </c>
      <c r="D5" s="1">
        <v>6.0</v>
      </c>
      <c r="E5" s="43" t="s">
        <v>213</v>
      </c>
    </row>
    <row r="6">
      <c r="A6" s="1" t="s">
        <v>214</v>
      </c>
      <c r="B6" s="1">
        <v>6.0</v>
      </c>
      <c r="C6" s="43" t="s">
        <v>215</v>
      </c>
      <c r="D6" s="1">
        <v>13.0</v>
      </c>
      <c r="E6" s="43" t="s">
        <v>216</v>
      </c>
    </row>
    <row r="7">
      <c r="A7" s="1" t="s">
        <v>217</v>
      </c>
      <c r="B7" s="1">
        <v>3.0</v>
      </c>
      <c r="C7" s="43" t="s">
        <v>218</v>
      </c>
      <c r="D7" s="1">
        <v>14.0</v>
      </c>
      <c r="E7" s="43" t="s">
        <v>219</v>
      </c>
    </row>
    <row r="8">
      <c r="A8" s="1" t="s">
        <v>220</v>
      </c>
      <c r="B8" s="1">
        <v>7.0</v>
      </c>
      <c r="C8" s="43" t="s">
        <v>221</v>
      </c>
      <c r="D8" s="1">
        <v>12.0</v>
      </c>
      <c r="E8" s="43" t="s">
        <v>222</v>
      </c>
    </row>
    <row r="9">
      <c r="A9" s="1" t="s">
        <v>223</v>
      </c>
      <c r="B9" s="1">
        <v>2.0</v>
      </c>
      <c r="C9" s="43" t="s">
        <v>224</v>
      </c>
      <c r="D9" s="1">
        <v>9.0</v>
      </c>
      <c r="E9" s="43" t="s">
        <v>225</v>
      </c>
    </row>
    <row r="10">
      <c r="A10" s="1" t="s">
        <v>226</v>
      </c>
      <c r="B10" s="1">
        <v>4.0</v>
      </c>
      <c r="C10" s="43" t="s">
        <v>227</v>
      </c>
      <c r="D10" s="1">
        <v>5.0</v>
      </c>
      <c r="E10" s="43" t="s">
        <v>228</v>
      </c>
    </row>
    <row r="11">
      <c r="A11" s="1" t="s">
        <v>229</v>
      </c>
      <c r="B11" s="1">
        <v>8.0</v>
      </c>
      <c r="C11" s="43" t="s">
        <v>230</v>
      </c>
      <c r="D11" s="1">
        <v>3.0</v>
      </c>
      <c r="E11" s="43" t="s">
        <v>231</v>
      </c>
    </row>
    <row r="12">
      <c r="C12" s="44"/>
      <c r="E12" s="44"/>
    </row>
    <row r="13">
      <c r="C13" s="44"/>
      <c r="E13" s="44"/>
    </row>
    <row r="14">
      <c r="C14" s="44"/>
      <c r="E14" s="44"/>
    </row>
    <row r="15">
      <c r="C15" s="44"/>
      <c r="E15" s="44"/>
    </row>
    <row r="16">
      <c r="C16" s="44"/>
      <c r="E16" s="44"/>
    </row>
    <row r="17">
      <c r="C17" s="44"/>
      <c r="E17" s="44"/>
    </row>
    <row r="18">
      <c r="C18" s="44"/>
      <c r="E18" s="44"/>
    </row>
    <row r="19">
      <c r="C19" s="44"/>
      <c r="E19" s="44"/>
    </row>
    <row r="20">
      <c r="C20" s="44"/>
      <c r="E20" s="44"/>
    </row>
    <row r="21">
      <c r="C21" s="44"/>
      <c r="E21" s="44"/>
    </row>
    <row r="22">
      <c r="C22" s="44"/>
      <c r="E22" s="44"/>
    </row>
    <row r="23">
      <c r="C23" s="44"/>
      <c r="E23" s="44"/>
    </row>
    <row r="24">
      <c r="C24" s="44"/>
      <c r="E24" s="44"/>
    </row>
    <row r="25">
      <c r="C25" s="44"/>
      <c r="E25" s="44"/>
    </row>
    <row r="26">
      <c r="C26" s="44"/>
      <c r="E26" s="44"/>
    </row>
    <row r="27">
      <c r="C27" s="44"/>
      <c r="E27" s="44"/>
    </row>
    <row r="28">
      <c r="C28" s="44"/>
      <c r="E28" s="44"/>
    </row>
    <row r="29">
      <c r="C29" s="44"/>
      <c r="E29" s="44"/>
    </row>
    <row r="30">
      <c r="C30" s="44"/>
      <c r="E30" s="44"/>
    </row>
    <row r="31">
      <c r="C31" s="44"/>
      <c r="E31" s="44"/>
    </row>
    <row r="32">
      <c r="C32" s="44"/>
      <c r="E32" s="44"/>
    </row>
    <row r="33">
      <c r="C33" s="44"/>
      <c r="E33" s="44"/>
    </row>
    <row r="34">
      <c r="C34" s="44"/>
      <c r="E34" s="44"/>
    </row>
    <row r="35">
      <c r="C35" s="44"/>
      <c r="E35" s="44"/>
    </row>
    <row r="36">
      <c r="C36" s="44"/>
      <c r="E36" s="44"/>
    </row>
    <row r="37">
      <c r="C37" s="44"/>
      <c r="E37" s="44"/>
    </row>
    <row r="38">
      <c r="C38" s="44"/>
      <c r="E38" s="44"/>
    </row>
    <row r="39">
      <c r="C39" s="44"/>
      <c r="E39" s="44"/>
    </row>
    <row r="40">
      <c r="C40" s="44"/>
      <c r="E40" s="44"/>
    </row>
    <row r="41">
      <c r="C41" s="44"/>
      <c r="E41" s="44"/>
    </row>
    <row r="42">
      <c r="C42" s="44"/>
      <c r="E42" s="44"/>
    </row>
    <row r="43">
      <c r="C43" s="44"/>
      <c r="E43" s="44"/>
    </row>
    <row r="44">
      <c r="C44" s="44"/>
      <c r="E44" s="44"/>
    </row>
    <row r="45">
      <c r="C45" s="44"/>
      <c r="E45" s="44"/>
    </row>
    <row r="46">
      <c r="C46" s="44"/>
      <c r="E46" s="44"/>
    </row>
    <row r="47">
      <c r="C47" s="44"/>
      <c r="E47" s="44"/>
    </row>
    <row r="48">
      <c r="C48" s="44"/>
      <c r="E48" s="44"/>
    </row>
    <row r="49">
      <c r="C49" s="44"/>
      <c r="E49" s="44"/>
    </row>
    <row r="50">
      <c r="C50" s="44"/>
      <c r="E50" s="44"/>
    </row>
    <row r="51">
      <c r="C51" s="44"/>
      <c r="E51" s="44"/>
    </row>
    <row r="52">
      <c r="C52" s="44"/>
      <c r="E52" s="44"/>
    </row>
    <row r="53">
      <c r="C53" s="44"/>
      <c r="E53" s="44"/>
    </row>
    <row r="54">
      <c r="C54" s="44"/>
      <c r="E54" s="44"/>
    </row>
    <row r="55">
      <c r="C55" s="44"/>
      <c r="E55" s="44"/>
    </row>
    <row r="56">
      <c r="C56" s="44"/>
      <c r="E56" s="44"/>
    </row>
    <row r="57">
      <c r="C57" s="44"/>
      <c r="E57" s="44"/>
    </row>
    <row r="58">
      <c r="C58" s="44"/>
      <c r="E58" s="44"/>
    </row>
    <row r="59">
      <c r="C59" s="44"/>
      <c r="E59" s="44"/>
    </row>
    <row r="60">
      <c r="C60" s="44"/>
      <c r="E60" s="44"/>
    </row>
    <row r="61">
      <c r="C61" s="44"/>
      <c r="E61" s="44"/>
    </row>
    <row r="62">
      <c r="C62" s="44"/>
      <c r="E62" s="44"/>
    </row>
    <row r="63">
      <c r="C63" s="44"/>
      <c r="E63" s="44"/>
    </row>
    <row r="64">
      <c r="C64" s="44"/>
      <c r="E64" s="44"/>
    </row>
    <row r="65">
      <c r="C65" s="44"/>
      <c r="E65" s="44"/>
    </row>
    <row r="66">
      <c r="C66" s="44"/>
      <c r="E66" s="44"/>
    </row>
    <row r="67">
      <c r="C67" s="44"/>
      <c r="E67" s="44"/>
    </row>
    <row r="68">
      <c r="C68" s="44"/>
      <c r="E68" s="44"/>
    </row>
    <row r="69">
      <c r="C69" s="44"/>
      <c r="E69" s="44"/>
    </row>
    <row r="70">
      <c r="C70" s="44"/>
      <c r="E70" s="44"/>
    </row>
    <row r="71">
      <c r="C71" s="44"/>
      <c r="E71" s="44"/>
    </row>
    <row r="72">
      <c r="C72" s="44"/>
      <c r="E72" s="44"/>
    </row>
    <row r="73">
      <c r="C73" s="44"/>
      <c r="E73" s="44"/>
    </row>
    <row r="74">
      <c r="C74" s="44"/>
      <c r="E74" s="44"/>
    </row>
    <row r="75">
      <c r="C75" s="44"/>
      <c r="E75" s="44"/>
    </row>
    <row r="76">
      <c r="C76" s="44"/>
      <c r="E76" s="44"/>
    </row>
    <row r="77">
      <c r="C77" s="44"/>
      <c r="E77" s="44"/>
    </row>
    <row r="78">
      <c r="C78" s="44"/>
      <c r="E78" s="44"/>
    </row>
    <row r="79">
      <c r="C79" s="44"/>
      <c r="E79" s="44"/>
    </row>
    <row r="80">
      <c r="C80" s="44"/>
      <c r="E80" s="44"/>
    </row>
    <row r="81">
      <c r="C81" s="44"/>
      <c r="E81" s="44"/>
    </row>
    <row r="82">
      <c r="C82" s="44"/>
      <c r="E82" s="44"/>
    </row>
    <row r="83">
      <c r="C83" s="44"/>
      <c r="E83" s="44"/>
    </row>
    <row r="84">
      <c r="C84" s="44"/>
      <c r="E84" s="44"/>
    </row>
    <row r="85">
      <c r="C85" s="44"/>
      <c r="E85" s="44"/>
    </row>
    <row r="86">
      <c r="C86" s="44"/>
      <c r="E86" s="44"/>
    </row>
    <row r="87">
      <c r="C87" s="44"/>
      <c r="E87" s="44"/>
    </row>
    <row r="88">
      <c r="C88" s="44"/>
      <c r="E88" s="44"/>
    </row>
    <row r="89">
      <c r="C89" s="44"/>
      <c r="E89" s="44"/>
    </row>
    <row r="90">
      <c r="C90" s="44"/>
      <c r="E90" s="44"/>
    </row>
    <row r="91">
      <c r="C91" s="44"/>
      <c r="E91" s="44"/>
    </row>
    <row r="92">
      <c r="C92" s="44"/>
      <c r="E92" s="44"/>
    </row>
    <row r="93">
      <c r="C93" s="44"/>
      <c r="E93" s="44"/>
    </row>
    <row r="94">
      <c r="C94" s="44"/>
      <c r="E94" s="44"/>
    </row>
    <row r="95">
      <c r="C95" s="44"/>
      <c r="E95" s="44"/>
    </row>
    <row r="96">
      <c r="C96" s="44"/>
      <c r="E96" s="44"/>
    </row>
    <row r="97">
      <c r="C97" s="44"/>
      <c r="E97" s="44"/>
    </row>
    <row r="98">
      <c r="C98" s="44"/>
      <c r="E98" s="44"/>
    </row>
    <row r="99">
      <c r="C99" s="44"/>
      <c r="E99" s="44"/>
    </row>
    <row r="100">
      <c r="C100" s="44"/>
      <c r="E100" s="44"/>
    </row>
    <row r="101">
      <c r="C101" s="44"/>
      <c r="E101" s="44"/>
    </row>
    <row r="102">
      <c r="C102" s="44"/>
      <c r="E102" s="44"/>
    </row>
    <row r="103">
      <c r="C103" s="44"/>
      <c r="E103" s="44"/>
    </row>
    <row r="104">
      <c r="C104" s="44"/>
      <c r="E104" s="44"/>
    </row>
    <row r="105">
      <c r="C105" s="44"/>
      <c r="E105" s="44"/>
    </row>
    <row r="106">
      <c r="C106" s="44"/>
      <c r="E106" s="44"/>
    </row>
    <row r="107">
      <c r="C107" s="44"/>
      <c r="E107" s="44"/>
    </row>
    <row r="108">
      <c r="C108" s="44"/>
      <c r="E108" s="44"/>
    </row>
    <row r="109">
      <c r="C109" s="44"/>
      <c r="E109" s="44"/>
    </row>
    <row r="110">
      <c r="C110" s="44"/>
      <c r="E110" s="44"/>
    </row>
    <row r="111">
      <c r="C111" s="44"/>
      <c r="E111" s="44"/>
    </row>
    <row r="112">
      <c r="C112" s="44"/>
      <c r="E112" s="44"/>
    </row>
    <row r="113">
      <c r="C113" s="44"/>
      <c r="E113" s="44"/>
    </row>
    <row r="114">
      <c r="C114" s="44"/>
      <c r="E114" s="44"/>
    </row>
    <row r="115">
      <c r="C115" s="44"/>
      <c r="E115" s="44"/>
    </row>
    <row r="116">
      <c r="C116" s="44"/>
      <c r="E116" s="44"/>
    </row>
    <row r="117">
      <c r="C117" s="44"/>
      <c r="E117" s="44"/>
    </row>
    <row r="118">
      <c r="C118" s="44"/>
      <c r="E118" s="44"/>
    </row>
    <row r="119">
      <c r="C119" s="44"/>
      <c r="E119" s="44"/>
    </row>
    <row r="120">
      <c r="C120" s="44"/>
      <c r="E120" s="44"/>
    </row>
    <row r="121">
      <c r="C121" s="44"/>
      <c r="E121" s="44"/>
    </row>
    <row r="122">
      <c r="C122" s="44"/>
      <c r="E122" s="44"/>
    </row>
    <row r="123">
      <c r="C123" s="44"/>
      <c r="E123" s="44"/>
    </row>
    <row r="124">
      <c r="C124" s="44"/>
      <c r="E124" s="44"/>
    </row>
    <row r="125">
      <c r="C125" s="44"/>
      <c r="E125" s="44"/>
    </row>
    <row r="126">
      <c r="C126" s="44"/>
      <c r="E126" s="44"/>
    </row>
    <row r="127">
      <c r="C127" s="44"/>
      <c r="E127" s="44"/>
    </row>
    <row r="128">
      <c r="C128" s="44"/>
      <c r="E128" s="44"/>
    </row>
    <row r="129">
      <c r="C129" s="44"/>
      <c r="E129" s="44"/>
    </row>
    <row r="130">
      <c r="C130" s="44"/>
      <c r="E130" s="44"/>
    </row>
    <row r="131">
      <c r="C131" s="44"/>
      <c r="E131" s="44"/>
    </row>
    <row r="132">
      <c r="C132" s="44"/>
      <c r="E132" s="44"/>
    </row>
    <row r="133">
      <c r="C133" s="44"/>
      <c r="E133" s="44"/>
    </row>
    <row r="134">
      <c r="C134" s="44"/>
      <c r="E134" s="44"/>
    </row>
    <row r="135">
      <c r="C135" s="44"/>
      <c r="E135" s="44"/>
    </row>
    <row r="136">
      <c r="C136" s="44"/>
      <c r="E136" s="44"/>
    </row>
    <row r="137">
      <c r="C137" s="44"/>
      <c r="E137" s="44"/>
    </row>
    <row r="138">
      <c r="C138" s="44"/>
      <c r="E138" s="44"/>
    </row>
    <row r="139">
      <c r="C139" s="44"/>
      <c r="E139" s="44"/>
    </row>
    <row r="140">
      <c r="C140" s="44"/>
      <c r="E140" s="44"/>
    </row>
    <row r="141">
      <c r="C141" s="44"/>
      <c r="E141" s="44"/>
    </row>
    <row r="142">
      <c r="C142" s="44"/>
      <c r="E142" s="44"/>
    </row>
    <row r="143">
      <c r="C143" s="44"/>
      <c r="E143" s="44"/>
    </row>
    <row r="144">
      <c r="C144" s="44"/>
      <c r="E144" s="44"/>
    </row>
    <row r="145">
      <c r="C145" s="44"/>
      <c r="E145" s="44"/>
    </row>
    <row r="146">
      <c r="C146" s="44"/>
      <c r="E146" s="44"/>
    </row>
    <row r="147">
      <c r="C147" s="44"/>
      <c r="E147" s="44"/>
    </row>
    <row r="148">
      <c r="C148" s="44"/>
      <c r="E148" s="44"/>
    </row>
    <row r="149">
      <c r="C149" s="44"/>
      <c r="E149" s="44"/>
    </row>
    <row r="150">
      <c r="C150" s="44"/>
      <c r="E150" s="44"/>
    </row>
    <row r="151">
      <c r="C151" s="44"/>
      <c r="E151" s="44"/>
    </row>
    <row r="152">
      <c r="C152" s="44"/>
      <c r="E152" s="44"/>
    </row>
    <row r="153">
      <c r="C153" s="44"/>
      <c r="E153" s="44"/>
    </row>
    <row r="154">
      <c r="C154" s="44"/>
      <c r="E154" s="44"/>
    </row>
    <row r="155">
      <c r="C155" s="44"/>
      <c r="E155" s="44"/>
    </row>
    <row r="156">
      <c r="C156" s="44"/>
      <c r="E156" s="44"/>
    </row>
    <row r="157">
      <c r="C157" s="44"/>
      <c r="E157" s="44"/>
    </row>
    <row r="158">
      <c r="C158" s="44"/>
      <c r="E158" s="44"/>
    </row>
    <row r="159">
      <c r="C159" s="44"/>
      <c r="E159" s="44"/>
    </row>
    <row r="160">
      <c r="C160" s="44"/>
      <c r="E160" s="44"/>
    </row>
    <row r="161">
      <c r="C161" s="44"/>
      <c r="E161" s="44"/>
    </row>
    <row r="162">
      <c r="C162" s="44"/>
      <c r="E162" s="44"/>
    </row>
    <row r="163">
      <c r="C163" s="44"/>
      <c r="E163" s="44"/>
    </row>
    <row r="164">
      <c r="C164" s="44"/>
      <c r="E164" s="44"/>
    </row>
    <row r="165">
      <c r="C165" s="44"/>
      <c r="E165" s="44"/>
    </row>
    <row r="166">
      <c r="C166" s="44"/>
      <c r="E166" s="44"/>
    </row>
    <row r="167">
      <c r="C167" s="44"/>
      <c r="E167" s="44"/>
    </row>
    <row r="168">
      <c r="C168" s="44"/>
      <c r="E168" s="44"/>
    </row>
    <row r="169">
      <c r="C169" s="44"/>
      <c r="E169" s="44"/>
    </row>
    <row r="170">
      <c r="C170" s="44"/>
      <c r="E170" s="44"/>
    </row>
    <row r="171">
      <c r="C171" s="44"/>
      <c r="E171" s="44"/>
    </row>
    <row r="172">
      <c r="C172" s="44"/>
      <c r="E172" s="44"/>
    </row>
    <row r="173">
      <c r="C173" s="44"/>
      <c r="E173" s="44"/>
    </row>
    <row r="174">
      <c r="C174" s="44"/>
      <c r="E174" s="44"/>
    </row>
    <row r="175">
      <c r="C175" s="44"/>
      <c r="E175" s="44"/>
    </row>
    <row r="176">
      <c r="C176" s="44"/>
      <c r="E176" s="44"/>
    </row>
    <row r="177">
      <c r="C177" s="44"/>
      <c r="E177" s="44"/>
    </row>
    <row r="178">
      <c r="C178" s="44"/>
      <c r="E178" s="44"/>
    </row>
    <row r="179">
      <c r="C179" s="44"/>
      <c r="E179" s="44"/>
    </row>
    <row r="180">
      <c r="C180" s="44"/>
      <c r="E180" s="44"/>
    </row>
    <row r="181">
      <c r="C181" s="44"/>
      <c r="E181" s="44"/>
    </row>
    <row r="182">
      <c r="C182" s="44"/>
      <c r="E182" s="44"/>
    </row>
    <row r="183">
      <c r="C183" s="44"/>
      <c r="E183" s="44"/>
    </row>
    <row r="184">
      <c r="C184" s="44"/>
      <c r="E184" s="44"/>
    </row>
    <row r="185">
      <c r="C185" s="44"/>
      <c r="E185" s="44"/>
    </row>
    <row r="186">
      <c r="C186" s="44"/>
      <c r="E186" s="44"/>
    </row>
    <row r="187">
      <c r="C187" s="44"/>
      <c r="E187" s="44"/>
    </row>
    <row r="188">
      <c r="C188" s="44"/>
      <c r="E188" s="44"/>
    </row>
    <row r="189">
      <c r="C189" s="44"/>
      <c r="E189" s="44"/>
    </row>
    <row r="190">
      <c r="C190" s="44"/>
      <c r="E190" s="44"/>
    </row>
    <row r="191">
      <c r="C191" s="44"/>
      <c r="E191" s="44"/>
    </row>
    <row r="192">
      <c r="C192" s="44"/>
      <c r="E192" s="44"/>
    </row>
    <row r="193">
      <c r="C193" s="44"/>
      <c r="E193" s="44"/>
    </row>
    <row r="194">
      <c r="C194" s="44"/>
      <c r="E194" s="44"/>
    </row>
    <row r="195">
      <c r="C195" s="44"/>
      <c r="E195" s="44"/>
    </row>
    <row r="196">
      <c r="C196" s="44"/>
      <c r="E196" s="44"/>
    </row>
    <row r="197">
      <c r="C197" s="44"/>
      <c r="E197" s="44"/>
    </row>
    <row r="198">
      <c r="C198" s="44"/>
      <c r="E198" s="44"/>
    </row>
    <row r="199">
      <c r="C199" s="44"/>
      <c r="E199" s="44"/>
    </row>
    <row r="200">
      <c r="C200" s="44"/>
      <c r="E200" s="44"/>
    </row>
    <row r="201">
      <c r="C201" s="44"/>
      <c r="E201" s="44"/>
    </row>
    <row r="202">
      <c r="C202" s="44"/>
      <c r="E202" s="44"/>
    </row>
    <row r="203">
      <c r="C203" s="44"/>
      <c r="E203" s="44"/>
    </row>
    <row r="204">
      <c r="C204" s="44"/>
      <c r="E204" s="44"/>
    </row>
    <row r="205">
      <c r="C205" s="44"/>
      <c r="E205" s="44"/>
    </row>
    <row r="206">
      <c r="C206" s="44"/>
      <c r="E206" s="44"/>
    </row>
    <row r="207">
      <c r="C207" s="44"/>
      <c r="E207" s="44"/>
    </row>
    <row r="208">
      <c r="C208" s="44"/>
      <c r="E208" s="44"/>
    </row>
    <row r="209">
      <c r="C209" s="44"/>
      <c r="E209" s="44"/>
    </row>
    <row r="210">
      <c r="C210" s="44"/>
      <c r="E210" s="44"/>
    </row>
    <row r="211">
      <c r="C211" s="44"/>
      <c r="E211" s="44"/>
    </row>
    <row r="212">
      <c r="C212" s="44"/>
      <c r="E212" s="44"/>
    </row>
    <row r="213">
      <c r="C213" s="44"/>
      <c r="E213" s="44"/>
    </row>
    <row r="214">
      <c r="C214" s="44"/>
      <c r="E214" s="44"/>
    </row>
    <row r="215">
      <c r="C215" s="44"/>
      <c r="E215" s="44"/>
    </row>
    <row r="216">
      <c r="C216" s="44"/>
      <c r="E216" s="44"/>
    </row>
    <row r="217">
      <c r="C217" s="44"/>
      <c r="E217" s="44"/>
    </row>
    <row r="218">
      <c r="C218" s="44"/>
      <c r="E218" s="44"/>
    </row>
    <row r="219">
      <c r="C219" s="44"/>
      <c r="E219" s="44"/>
    </row>
    <row r="220">
      <c r="C220" s="44"/>
      <c r="E220" s="44"/>
    </row>
    <row r="221">
      <c r="C221" s="44"/>
      <c r="E221" s="44"/>
    </row>
    <row r="222">
      <c r="C222" s="44"/>
      <c r="E222" s="44"/>
    </row>
    <row r="223">
      <c r="C223" s="44"/>
      <c r="E223" s="44"/>
    </row>
    <row r="224">
      <c r="C224" s="44"/>
      <c r="E224" s="44"/>
    </row>
    <row r="225">
      <c r="C225" s="44"/>
      <c r="E225" s="44"/>
    </row>
    <row r="226">
      <c r="C226" s="44"/>
      <c r="E226" s="44"/>
    </row>
    <row r="227">
      <c r="C227" s="44"/>
      <c r="E227" s="44"/>
    </row>
    <row r="228">
      <c r="C228" s="44"/>
      <c r="E228" s="44"/>
    </row>
    <row r="229">
      <c r="C229" s="44"/>
      <c r="E229" s="44"/>
    </row>
    <row r="230">
      <c r="C230" s="44"/>
      <c r="E230" s="44"/>
    </row>
    <row r="231">
      <c r="C231" s="44"/>
      <c r="E231" s="44"/>
    </row>
    <row r="232">
      <c r="C232" s="44"/>
      <c r="E232" s="44"/>
    </row>
    <row r="233">
      <c r="C233" s="44"/>
      <c r="E233" s="44"/>
    </row>
    <row r="234">
      <c r="C234" s="44"/>
      <c r="E234" s="44"/>
    </row>
    <row r="235">
      <c r="C235" s="44"/>
      <c r="E235" s="44"/>
    </row>
    <row r="236">
      <c r="C236" s="44"/>
      <c r="E236" s="44"/>
    </row>
    <row r="237">
      <c r="C237" s="44"/>
      <c r="E237" s="44"/>
    </row>
    <row r="238">
      <c r="C238" s="44"/>
      <c r="E238" s="44"/>
    </row>
    <row r="239">
      <c r="C239" s="44"/>
      <c r="E239" s="44"/>
    </row>
    <row r="240">
      <c r="C240" s="44"/>
      <c r="E240" s="44"/>
    </row>
    <row r="241">
      <c r="C241" s="44"/>
      <c r="E241" s="44"/>
    </row>
    <row r="242">
      <c r="C242" s="44"/>
      <c r="E242" s="44"/>
    </row>
    <row r="243">
      <c r="C243" s="44"/>
      <c r="E243" s="44"/>
    </row>
    <row r="244">
      <c r="C244" s="44"/>
      <c r="E244" s="44"/>
    </row>
    <row r="245">
      <c r="C245" s="44"/>
      <c r="E245" s="44"/>
    </row>
    <row r="246">
      <c r="C246" s="44"/>
      <c r="E246" s="44"/>
    </row>
    <row r="247">
      <c r="C247" s="44"/>
      <c r="E247" s="44"/>
    </row>
    <row r="248">
      <c r="C248" s="44"/>
      <c r="E248" s="44"/>
    </row>
    <row r="249">
      <c r="C249" s="44"/>
      <c r="E249" s="44"/>
    </row>
    <row r="250">
      <c r="C250" s="44"/>
      <c r="E250" s="44"/>
    </row>
    <row r="251">
      <c r="C251" s="44"/>
      <c r="E251" s="44"/>
    </row>
    <row r="252">
      <c r="C252" s="44"/>
      <c r="E252" s="44"/>
    </row>
    <row r="253">
      <c r="C253" s="44"/>
      <c r="E253" s="44"/>
    </row>
    <row r="254">
      <c r="C254" s="44"/>
      <c r="E254" s="44"/>
    </row>
    <row r="255">
      <c r="C255" s="44"/>
      <c r="E255" s="44"/>
    </row>
    <row r="256">
      <c r="C256" s="44"/>
      <c r="E256" s="44"/>
    </row>
    <row r="257">
      <c r="C257" s="44"/>
      <c r="E257" s="44"/>
    </row>
    <row r="258">
      <c r="C258" s="44"/>
      <c r="E258" s="44"/>
    </row>
    <row r="259">
      <c r="C259" s="44"/>
      <c r="E259" s="44"/>
    </row>
    <row r="260">
      <c r="C260" s="44"/>
      <c r="E260" s="44"/>
    </row>
    <row r="261">
      <c r="C261" s="44"/>
      <c r="E261" s="44"/>
    </row>
    <row r="262">
      <c r="C262" s="44"/>
      <c r="E262" s="44"/>
    </row>
    <row r="263">
      <c r="C263" s="44"/>
      <c r="E263" s="44"/>
    </row>
    <row r="264">
      <c r="C264" s="44"/>
      <c r="E264" s="44"/>
    </row>
    <row r="265">
      <c r="C265" s="44"/>
      <c r="E265" s="44"/>
    </row>
    <row r="266">
      <c r="C266" s="44"/>
      <c r="E266" s="44"/>
    </row>
    <row r="267">
      <c r="C267" s="44"/>
      <c r="E267" s="44"/>
    </row>
    <row r="268">
      <c r="C268" s="44"/>
      <c r="E268" s="44"/>
    </row>
    <row r="269">
      <c r="C269" s="44"/>
      <c r="E269" s="44"/>
    </row>
    <row r="270">
      <c r="C270" s="44"/>
      <c r="E270" s="44"/>
    </row>
    <row r="271">
      <c r="C271" s="44"/>
      <c r="E271" s="44"/>
    </row>
    <row r="272">
      <c r="C272" s="44"/>
      <c r="E272" s="44"/>
    </row>
    <row r="273">
      <c r="C273" s="44"/>
      <c r="E273" s="44"/>
    </row>
    <row r="274">
      <c r="C274" s="44"/>
      <c r="E274" s="44"/>
    </row>
    <row r="275">
      <c r="C275" s="44"/>
      <c r="E275" s="44"/>
    </row>
    <row r="276">
      <c r="C276" s="44"/>
      <c r="E276" s="44"/>
    </row>
    <row r="277">
      <c r="C277" s="44"/>
      <c r="E277" s="44"/>
    </row>
    <row r="278">
      <c r="C278" s="44"/>
      <c r="E278" s="44"/>
    </row>
    <row r="279">
      <c r="C279" s="44"/>
      <c r="E279" s="44"/>
    </row>
    <row r="280">
      <c r="C280" s="44"/>
      <c r="E280" s="44"/>
    </row>
    <row r="281">
      <c r="C281" s="44"/>
      <c r="E281" s="44"/>
    </row>
    <row r="282">
      <c r="C282" s="44"/>
      <c r="E282" s="44"/>
    </row>
    <row r="283">
      <c r="C283" s="44"/>
      <c r="E283" s="44"/>
    </row>
    <row r="284">
      <c r="C284" s="44"/>
      <c r="E284" s="44"/>
    </row>
    <row r="285">
      <c r="C285" s="44"/>
      <c r="E285" s="44"/>
    </row>
    <row r="286">
      <c r="C286" s="44"/>
      <c r="E286" s="44"/>
    </row>
    <row r="287">
      <c r="C287" s="44"/>
      <c r="E287" s="44"/>
    </row>
    <row r="288">
      <c r="C288" s="44"/>
      <c r="E288" s="44"/>
    </row>
    <row r="289">
      <c r="C289" s="44"/>
      <c r="E289" s="44"/>
    </row>
    <row r="290">
      <c r="C290" s="44"/>
      <c r="E290" s="44"/>
    </row>
    <row r="291">
      <c r="C291" s="44"/>
      <c r="E291" s="44"/>
    </row>
    <row r="292">
      <c r="C292" s="44"/>
      <c r="E292" s="44"/>
    </row>
    <row r="293">
      <c r="C293" s="44"/>
      <c r="E293" s="44"/>
    </row>
    <row r="294">
      <c r="C294" s="44"/>
      <c r="E294" s="44"/>
    </row>
    <row r="295">
      <c r="C295" s="44"/>
      <c r="E295" s="44"/>
    </row>
    <row r="296">
      <c r="C296" s="44"/>
      <c r="E296" s="44"/>
    </row>
    <row r="297">
      <c r="C297" s="44"/>
      <c r="E297" s="44"/>
    </row>
    <row r="298">
      <c r="C298" s="44"/>
      <c r="E298" s="44"/>
    </row>
    <row r="299">
      <c r="C299" s="44"/>
      <c r="E299" s="44"/>
    </row>
    <row r="300">
      <c r="C300" s="44"/>
      <c r="E300" s="44"/>
    </row>
    <row r="301">
      <c r="C301" s="44"/>
      <c r="E301" s="44"/>
    </row>
    <row r="302">
      <c r="C302" s="44"/>
      <c r="E302" s="44"/>
    </row>
    <row r="303">
      <c r="C303" s="44"/>
      <c r="E303" s="44"/>
    </row>
    <row r="304">
      <c r="C304" s="44"/>
      <c r="E304" s="44"/>
    </row>
    <row r="305">
      <c r="C305" s="44"/>
      <c r="E305" s="44"/>
    </row>
    <row r="306">
      <c r="C306" s="44"/>
      <c r="E306" s="44"/>
    </row>
    <row r="307">
      <c r="C307" s="44"/>
      <c r="E307" s="44"/>
    </row>
    <row r="308">
      <c r="C308" s="44"/>
      <c r="E308" s="44"/>
    </row>
    <row r="309">
      <c r="C309" s="44"/>
      <c r="E309" s="44"/>
    </row>
    <row r="310">
      <c r="C310" s="44"/>
      <c r="E310" s="44"/>
    </row>
    <row r="311">
      <c r="C311" s="44"/>
      <c r="E311" s="44"/>
    </row>
    <row r="312">
      <c r="C312" s="44"/>
      <c r="E312" s="44"/>
    </row>
    <row r="313">
      <c r="C313" s="44"/>
      <c r="E313" s="44"/>
    </row>
    <row r="314">
      <c r="C314" s="44"/>
      <c r="E314" s="44"/>
    </row>
    <row r="315">
      <c r="C315" s="44"/>
      <c r="E315" s="44"/>
    </row>
    <row r="316">
      <c r="C316" s="44"/>
      <c r="E316" s="44"/>
    </row>
    <row r="317">
      <c r="C317" s="44"/>
      <c r="E317" s="44"/>
    </row>
    <row r="318">
      <c r="C318" s="44"/>
      <c r="E318" s="44"/>
    </row>
    <row r="319">
      <c r="C319" s="44"/>
      <c r="E319" s="44"/>
    </row>
    <row r="320">
      <c r="C320" s="44"/>
      <c r="E320" s="44"/>
    </row>
    <row r="321">
      <c r="C321" s="44"/>
      <c r="E321" s="44"/>
    </row>
    <row r="322">
      <c r="C322" s="44"/>
      <c r="E322" s="44"/>
    </row>
    <row r="323">
      <c r="C323" s="44"/>
      <c r="E323" s="44"/>
    </row>
    <row r="324">
      <c r="C324" s="44"/>
      <c r="E324" s="44"/>
    </row>
    <row r="325">
      <c r="C325" s="44"/>
      <c r="E325" s="44"/>
    </row>
    <row r="326">
      <c r="C326" s="44"/>
      <c r="E326" s="44"/>
    </row>
    <row r="327">
      <c r="C327" s="44"/>
      <c r="E327" s="44"/>
    </row>
    <row r="328">
      <c r="C328" s="44"/>
      <c r="E328" s="44"/>
    </row>
    <row r="329">
      <c r="C329" s="44"/>
      <c r="E329" s="44"/>
    </row>
    <row r="330">
      <c r="C330" s="44"/>
      <c r="E330" s="44"/>
    </row>
    <row r="331">
      <c r="C331" s="44"/>
      <c r="E331" s="44"/>
    </row>
    <row r="332">
      <c r="C332" s="44"/>
      <c r="E332" s="44"/>
    </row>
    <row r="333">
      <c r="C333" s="44"/>
      <c r="E333" s="44"/>
    </row>
    <row r="334">
      <c r="C334" s="44"/>
      <c r="E334" s="44"/>
    </row>
    <row r="335">
      <c r="C335" s="44"/>
      <c r="E335" s="44"/>
    </row>
    <row r="336">
      <c r="C336" s="44"/>
      <c r="E336" s="44"/>
    </row>
    <row r="337">
      <c r="C337" s="44"/>
      <c r="E337" s="44"/>
    </row>
    <row r="338">
      <c r="C338" s="44"/>
      <c r="E338" s="44"/>
    </row>
    <row r="339">
      <c r="C339" s="44"/>
      <c r="E339" s="44"/>
    </row>
    <row r="340">
      <c r="C340" s="44"/>
      <c r="E340" s="44"/>
    </row>
    <row r="341">
      <c r="C341" s="44"/>
      <c r="E341" s="44"/>
    </row>
    <row r="342">
      <c r="C342" s="44"/>
      <c r="E342" s="44"/>
    </row>
    <row r="343">
      <c r="C343" s="44"/>
      <c r="E343" s="44"/>
    </row>
    <row r="344">
      <c r="C344" s="44"/>
      <c r="E344" s="44"/>
    </row>
    <row r="345">
      <c r="C345" s="44"/>
      <c r="E345" s="44"/>
    </row>
    <row r="346">
      <c r="C346" s="44"/>
      <c r="E346" s="44"/>
    </row>
    <row r="347">
      <c r="C347" s="44"/>
      <c r="E347" s="44"/>
    </row>
    <row r="348">
      <c r="C348" s="44"/>
      <c r="E348" s="44"/>
    </row>
    <row r="349">
      <c r="C349" s="44"/>
      <c r="E349" s="44"/>
    </row>
    <row r="350">
      <c r="C350" s="44"/>
      <c r="E350" s="44"/>
    </row>
    <row r="351">
      <c r="C351" s="44"/>
      <c r="E351" s="44"/>
    </row>
    <row r="352">
      <c r="C352" s="44"/>
      <c r="E352" s="44"/>
    </row>
    <row r="353">
      <c r="C353" s="44"/>
      <c r="E353" s="44"/>
    </row>
    <row r="354">
      <c r="C354" s="44"/>
      <c r="E354" s="44"/>
    </row>
    <row r="355">
      <c r="C355" s="44"/>
      <c r="E355" s="44"/>
    </row>
    <row r="356">
      <c r="C356" s="44"/>
      <c r="E356" s="44"/>
    </row>
    <row r="357">
      <c r="C357" s="44"/>
      <c r="E357" s="44"/>
    </row>
    <row r="358">
      <c r="C358" s="44"/>
      <c r="E358" s="44"/>
    </row>
    <row r="359">
      <c r="C359" s="44"/>
      <c r="E359" s="44"/>
    </row>
    <row r="360">
      <c r="C360" s="44"/>
      <c r="E360" s="44"/>
    </row>
    <row r="361">
      <c r="C361" s="44"/>
      <c r="E361" s="44"/>
    </row>
    <row r="362">
      <c r="C362" s="44"/>
      <c r="E362" s="44"/>
    </row>
    <row r="363">
      <c r="C363" s="44"/>
      <c r="E363" s="44"/>
    </row>
    <row r="364">
      <c r="C364" s="44"/>
      <c r="E364" s="44"/>
    </row>
    <row r="365">
      <c r="C365" s="44"/>
      <c r="E365" s="44"/>
    </row>
    <row r="366">
      <c r="C366" s="44"/>
      <c r="E366" s="44"/>
    </row>
    <row r="367">
      <c r="C367" s="44"/>
      <c r="E367" s="44"/>
    </row>
    <row r="368">
      <c r="C368" s="44"/>
      <c r="E368" s="44"/>
    </row>
    <row r="369">
      <c r="C369" s="44"/>
      <c r="E369" s="44"/>
    </row>
    <row r="370">
      <c r="C370" s="44"/>
      <c r="E370" s="44"/>
    </row>
    <row r="371">
      <c r="C371" s="44"/>
      <c r="E371" s="44"/>
    </row>
    <row r="372">
      <c r="C372" s="44"/>
      <c r="E372" s="44"/>
    </row>
    <row r="373">
      <c r="C373" s="44"/>
      <c r="E373" s="44"/>
    </row>
    <row r="374">
      <c r="C374" s="44"/>
      <c r="E374" s="44"/>
    </row>
    <row r="375">
      <c r="C375" s="44"/>
      <c r="E375" s="44"/>
    </row>
    <row r="376">
      <c r="C376" s="44"/>
      <c r="E376" s="44"/>
    </row>
    <row r="377">
      <c r="C377" s="44"/>
      <c r="E377" s="44"/>
    </row>
    <row r="378">
      <c r="C378" s="44"/>
      <c r="E378" s="44"/>
    </row>
    <row r="379">
      <c r="C379" s="44"/>
      <c r="E379" s="44"/>
    </row>
    <row r="380">
      <c r="C380" s="44"/>
      <c r="E380" s="44"/>
    </row>
    <row r="381">
      <c r="C381" s="44"/>
      <c r="E381" s="44"/>
    </row>
    <row r="382">
      <c r="C382" s="44"/>
      <c r="E382" s="44"/>
    </row>
    <row r="383">
      <c r="C383" s="44"/>
      <c r="E383" s="44"/>
    </row>
    <row r="384">
      <c r="C384" s="44"/>
      <c r="E384" s="44"/>
    </row>
    <row r="385">
      <c r="C385" s="44"/>
      <c r="E385" s="44"/>
    </row>
    <row r="386">
      <c r="C386" s="44"/>
      <c r="E386" s="44"/>
    </row>
    <row r="387">
      <c r="C387" s="44"/>
      <c r="E387" s="44"/>
    </row>
    <row r="388">
      <c r="C388" s="44"/>
      <c r="E388" s="44"/>
    </row>
    <row r="389">
      <c r="C389" s="44"/>
      <c r="E389" s="44"/>
    </row>
    <row r="390">
      <c r="C390" s="44"/>
      <c r="E390" s="44"/>
    </row>
    <row r="391">
      <c r="C391" s="44"/>
      <c r="E391" s="44"/>
    </row>
    <row r="392">
      <c r="C392" s="44"/>
      <c r="E392" s="44"/>
    </row>
    <row r="393">
      <c r="C393" s="44"/>
      <c r="E393" s="44"/>
    </row>
    <row r="394">
      <c r="C394" s="44"/>
      <c r="E394" s="44"/>
    </row>
    <row r="395">
      <c r="C395" s="44"/>
      <c r="E395" s="44"/>
    </row>
    <row r="396">
      <c r="C396" s="44"/>
      <c r="E396" s="44"/>
    </row>
    <row r="397">
      <c r="C397" s="44"/>
      <c r="E397" s="44"/>
    </row>
    <row r="398">
      <c r="C398" s="44"/>
      <c r="E398" s="44"/>
    </row>
    <row r="399">
      <c r="C399" s="44"/>
      <c r="E399" s="44"/>
    </row>
    <row r="400">
      <c r="C400" s="44"/>
      <c r="E400" s="44"/>
    </row>
    <row r="401">
      <c r="C401" s="44"/>
      <c r="E401" s="44"/>
    </row>
    <row r="402">
      <c r="C402" s="44"/>
      <c r="E402" s="44"/>
    </row>
    <row r="403">
      <c r="C403" s="44"/>
      <c r="E403" s="44"/>
    </row>
    <row r="404">
      <c r="C404" s="44"/>
      <c r="E404" s="44"/>
    </row>
    <row r="405">
      <c r="C405" s="44"/>
      <c r="E405" s="44"/>
    </row>
    <row r="406">
      <c r="C406" s="44"/>
      <c r="E406" s="44"/>
    </row>
    <row r="407">
      <c r="C407" s="44"/>
      <c r="E407" s="44"/>
    </row>
    <row r="408">
      <c r="C408" s="44"/>
      <c r="E408" s="44"/>
    </row>
    <row r="409">
      <c r="C409" s="44"/>
      <c r="E409" s="44"/>
    </row>
    <row r="410">
      <c r="C410" s="44"/>
      <c r="E410" s="44"/>
    </row>
    <row r="411">
      <c r="C411" s="44"/>
      <c r="E411" s="44"/>
    </row>
    <row r="412">
      <c r="C412" s="44"/>
      <c r="E412" s="44"/>
    </row>
    <row r="413">
      <c r="C413" s="44"/>
      <c r="E413" s="44"/>
    </row>
    <row r="414">
      <c r="C414" s="44"/>
      <c r="E414" s="44"/>
    </row>
    <row r="415">
      <c r="C415" s="44"/>
      <c r="E415" s="44"/>
    </row>
    <row r="416">
      <c r="C416" s="44"/>
      <c r="E416" s="44"/>
    </row>
    <row r="417">
      <c r="C417" s="44"/>
      <c r="E417" s="44"/>
    </row>
    <row r="418">
      <c r="C418" s="44"/>
      <c r="E418" s="44"/>
    </row>
    <row r="419">
      <c r="C419" s="44"/>
      <c r="E419" s="44"/>
    </row>
    <row r="420">
      <c r="C420" s="44"/>
      <c r="E420" s="44"/>
    </row>
    <row r="421">
      <c r="C421" s="44"/>
      <c r="E421" s="44"/>
    </row>
    <row r="422">
      <c r="C422" s="44"/>
      <c r="E422" s="44"/>
    </row>
    <row r="423">
      <c r="C423" s="44"/>
      <c r="E423" s="44"/>
    </row>
    <row r="424">
      <c r="C424" s="44"/>
      <c r="E424" s="44"/>
    </row>
    <row r="425">
      <c r="C425" s="44"/>
      <c r="E425" s="44"/>
    </row>
    <row r="426">
      <c r="C426" s="44"/>
      <c r="E426" s="44"/>
    </row>
    <row r="427">
      <c r="C427" s="44"/>
      <c r="E427" s="44"/>
    </row>
    <row r="428">
      <c r="C428" s="44"/>
      <c r="E428" s="44"/>
    </row>
    <row r="429">
      <c r="C429" s="44"/>
      <c r="E429" s="44"/>
    </row>
    <row r="430">
      <c r="C430" s="44"/>
      <c r="E430" s="44"/>
    </row>
    <row r="431">
      <c r="C431" s="44"/>
      <c r="E431" s="44"/>
    </row>
    <row r="432">
      <c r="C432" s="44"/>
      <c r="E432" s="44"/>
    </row>
    <row r="433">
      <c r="C433" s="44"/>
      <c r="E433" s="44"/>
    </row>
    <row r="434">
      <c r="C434" s="44"/>
      <c r="E434" s="44"/>
    </row>
    <row r="435">
      <c r="C435" s="44"/>
      <c r="E435" s="44"/>
    </row>
    <row r="436">
      <c r="C436" s="44"/>
      <c r="E436" s="44"/>
    </row>
    <row r="437">
      <c r="C437" s="44"/>
      <c r="E437" s="44"/>
    </row>
    <row r="438">
      <c r="C438" s="44"/>
      <c r="E438" s="44"/>
    </row>
    <row r="439">
      <c r="C439" s="44"/>
      <c r="E439" s="44"/>
    </row>
    <row r="440">
      <c r="C440" s="44"/>
      <c r="E440" s="44"/>
    </row>
    <row r="441">
      <c r="C441" s="44"/>
      <c r="E441" s="44"/>
    </row>
    <row r="442">
      <c r="C442" s="44"/>
      <c r="E442" s="44"/>
    </row>
    <row r="443">
      <c r="C443" s="44"/>
      <c r="E443" s="44"/>
    </row>
    <row r="444">
      <c r="C444" s="44"/>
      <c r="E444" s="44"/>
    </row>
    <row r="445">
      <c r="C445" s="44"/>
      <c r="E445" s="44"/>
    </row>
    <row r="446">
      <c r="C446" s="44"/>
      <c r="E446" s="44"/>
    </row>
    <row r="447">
      <c r="C447" s="44"/>
      <c r="E447" s="44"/>
    </row>
    <row r="448">
      <c r="C448" s="44"/>
      <c r="E448" s="44"/>
    </row>
    <row r="449">
      <c r="C449" s="44"/>
      <c r="E449" s="44"/>
    </row>
    <row r="450">
      <c r="C450" s="44"/>
      <c r="E450" s="44"/>
    </row>
    <row r="451">
      <c r="C451" s="44"/>
      <c r="E451" s="44"/>
    </row>
    <row r="452">
      <c r="C452" s="44"/>
      <c r="E452" s="44"/>
    </row>
    <row r="453">
      <c r="C453" s="44"/>
      <c r="E453" s="44"/>
    </row>
    <row r="454">
      <c r="C454" s="44"/>
      <c r="E454" s="44"/>
    </row>
    <row r="455">
      <c r="C455" s="44"/>
      <c r="E455" s="44"/>
    </row>
    <row r="456">
      <c r="C456" s="44"/>
      <c r="E456" s="44"/>
    </row>
    <row r="457">
      <c r="C457" s="44"/>
      <c r="E457" s="44"/>
    </row>
    <row r="458">
      <c r="C458" s="44"/>
      <c r="E458" s="44"/>
    </row>
    <row r="459">
      <c r="C459" s="44"/>
      <c r="E459" s="44"/>
    </row>
    <row r="460">
      <c r="C460" s="44"/>
      <c r="E460" s="44"/>
    </row>
    <row r="461">
      <c r="C461" s="44"/>
      <c r="E461" s="44"/>
    </row>
    <row r="462">
      <c r="C462" s="44"/>
      <c r="E462" s="44"/>
    </row>
    <row r="463">
      <c r="C463" s="44"/>
      <c r="E463" s="44"/>
    </row>
    <row r="464">
      <c r="C464" s="44"/>
      <c r="E464" s="44"/>
    </row>
    <row r="465">
      <c r="C465" s="44"/>
      <c r="E465" s="44"/>
    </row>
    <row r="466">
      <c r="C466" s="44"/>
      <c r="E466" s="44"/>
    </row>
    <row r="467">
      <c r="C467" s="44"/>
      <c r="E467" s="44"/>
    </row>
    <row r="468">
      <c r="C468" s="44"/>
      <c r="E468" s="44"/>
    </row>
    <row r="469">
      <c r="C469" s="44"/>
      <c r="E469" s="44"/>
    </row>
    <row r="470">
      <c r="C470" s="44"/>
      <c r="E470" s="44"/>
    </row>
    <row r="471">
      <c r="C471" s="44"/>
      <c r="E471" s="44"/>
    </row>
    <row r="472">
      <c r="C472" s="44"/>
      <c r="E472" s="44"/>
    </row>
    <row r="473">
      <c r="C473" s="44"/>
      <c r="E473" s="44"/>
    </row>
    <row r="474">
      <c r="C474" s="44"/>
      <c r="E474" s="44"/>
    </row>
    <row r="475">
      <c r="C475" s="44"/>
      <c r="E475" s="44"/>
    </row>
    <row r="476">
      <c r="C476" s="44"/>
      <c r="E476" s="44"/>
    </row>
    <row r="477">
      <c r="C477" s="44"/>
      <c r="E477" s="44"/>
    </row>
    <row r="478">
      <c r="C478" s="44"/>
      <c r="E478" s="44"/>
    </row>
    <row r="479">
      <c r="C479" s="44"/>
      <c r="E479" s="44"/>
    </row>
    <row r="480">
      <c r="C480" s="44"/>
      <c r="E480" s="44"/>
    </row>
    <row r="481">
      <c r="C481" s="44"/>
      <c r="E481" s="44"/>
    </row>
    <row r="482">
      <c r="C482" s="44"/>
      <c r="E482" s="44"/>
    </row>
    <row r="483">
      <c r="C483" s="44"/>
      <c r="E483" s="44"/>
    </row>
    <row r="484">
      <c r="C484" s="44"/>
      <c r="E484" s="44"/>
    </row>
    <row r="485">
      <c r="C485" s="44"/>
      <c r="E485" s="44"/>
    </row>
    <row r="486">
      <c r="C486" s="44"/>
      <c r="E486" s="44"/>
    </row>
    <row r="487">
      <c r="C487" s="44"/>
      <c r="E487" s="44"/>
    </row>
    <row r="488">
      <c r="C488" s="44"/>
      <c r="E488" s="44"/>
    </row>
    <row r="489">
      <c r="C489" s="44"/>
      <c r="E489" s="44"/>
    </row>
    <row r="490">
      <c r="C490" s="44"/>
      <c r="E490" s="44"/>
    </row>
    <row r="491">
      <c r="C491" s="44"/>
      <c r="E491" s="44"/>
    </row>
    <row r="492">
      <c r="C492" s="44"/>
      <c r="E492" s="44"/>
    </row>
    <row r="493">
      <c r="C493" s="44"/>
      <c r="E493" s="44"/>
    </row>
    <row r="494">
      <c r="C494" s="44"/>
      <c r="E494" s="44"/>
    </row>
    <row r="495">
      <c r="C495" s="44"/>
      <c r="E495" s="44"/>
    </row>
    <row r="496">
      <c r="C496" s="44"/>
      <c r="E496" s="44"/>
    </row>
    <row r="497">
      <c r="C497" s="44"/>
      <c r="E497" s="44"/>
    </row>
    <row r="498">
      <c r="C498" s="44"/>
      <c r="E498" s="44"/>
    </row>
    <row r="499">
      <c r="C499" s="44"/>
      <c r="E499" s="44"/>
    </row>
    <row r="500">
      <c r="C500" s="44"/>
      <c r="E500" s="44"/>
    </row>
    <row r="501">
      <c r="C501" s="44"/>
      <c r="E501" s="44"/>
    </row>
    <row r="502">
      <c r="C502" s="44"/>
      <c r="E502" s="44"/>
    </row>
    <row r="503">
      <c r="C503" s="44"/>
      <c r="E503" s="44"/>
    </row>
    <row r="504">
      <c r="C504" s="44"/>
      <c r="E504" s="44"/>
    </row>
    <row r="505">
      <c r="C505" s="44"/>
      <c r="E505" s="44"/>
    </row>
    <row r="506">
      <c r="C506" s="44"/>
      <c r="E506" s="44"/>
    </row>
    <row r="507">
      <c r="C507" s="44"/>
      <c r="E507" s="44"/>
    </row>
    <row r="508">
      <c r="C508" s="44"/>
      <c r="E508" s="44"/>
    </row>
    <row r="509">
      <c r="C509" s="44"/>
      <c r="E509" s="44"/>
    </row>
    <row r="510">
      <c r="C510" s="44"/>
      <c r="E510" s="44"/>
    </row>
    <row r="511">
      <c r="C511" s="44"/>
      <c r="E511" s="44"/>
    </row>
    <row r="512">
      <c r="C512" s="44"/>
      <c r="E512" s="44"/>
    </row>
    <row r="513">
      <c r="C513" s="44"/>
      <c r="E513" s="44"/>
    </row>
    <row r="514">
      <c r="C514" s="44"/>
      <c r="E514" s="44"/>
    </row>
    <row r="515">
      <c r="C515" s="44"/>
      <c r="E515" s="44"/>
    </row>
    <row r="516">
      <c r="C516" s="44"/>
      <c r="E516" s="44"/>
    </row>
    <row r="517">
      <c r="C517" s="44"/>
      <c r="E517" s="44"/>
    </row>
    <row r="518">
      <c r="C518" s="44"/>
      <c r="E518" s="44"/>
    </row>
    <row r="519">
      <c r="C519" s="44"/>
      <c r="E519" s="44"/>
    </row>
    <row r="520">
      <c r="C520" s="44"/>
      <c r="E520" s="44"/>
    </row>
    <row r="521">
      <c r="C521" s="44"/>
      <c r="E521" s="44"/>
    </row>
    <row r="522">
      <c r="C522" s="44"/>
      <c r="E522" s="44"/>
    </row>
    <row r="523">
      <c r="C523" s="44"/>
      <c r="E523" s="44"/>
    </row>
    <row r="524">
      <c r="C524" s="44"/>
      <c r="E524" s="44"/>
    </row>
    <row r="525">
      <c r="C525" s="44"/>
      <c r="E525" s="44"/>
    </row>
    <row r="526">
      <c r="C526" s="44"/>
      <c r="E526" s="44"/>
    </row>
    <row r="527">
      <c r="C527" s="44"/>
      <c r="E527" s="44"/>
    </row>
    <row r="528">
      <c r="C528" s="44"/>
      <c r="E528" s="44"/>
    </row>
    <row r="529">
      <c r="C529" s="44"/>
      <c r="E529" s="44"/>
    </row>
    <row r="530">
      <c r="C530" s="44"/>
      <c r="E530" s="44"/>
    </row>
    <row r="531">
      <c r="C531" s="44"/>
      <c r="E531" s="44"/>
    </row>
    <row r="532">
      <c r="C532" s="44"/>
      <c r="E532" s="44"/>
    </row>
    <row r="533">
      <c r="C533" s="44"/>
      <c r="E533" s="44"/>
    </row>
    <row r="534">
      <c r="C534" s="44"/>
      <c r="E534" s="44"/>
    </row>
    <row r="535">
      <c r="C535" s="44"/>
      <c r="E535" s="44"/>
    </row>
    <row r="536">
      <c r="C536" s="44"/>
      <c r="E536" s="44"/>
    </row>
    <row r="537">
      <c r="C537" s="44"/>
      <c r="E537" s="44"/>
    </row>
    <row r="538">
      <c r="C538" s="44"/>
      <c r="E538" s="44"/>
    </row>
    <row r="539">
      <c r="C539" s="44"/>
      <c r="E539" s="44"/>
    </row>
    <row r="540">
      <c r="C540" s="44"/>
      <c r="E540" s="44"/>
    </row>
    <row r="541">
      <c r="C541" s="44"/>
      <c r="E541" s="44"/>
    </row>
    <row r="542">
      <c r="C542" s="44"/>
      <c r="E542" s="44"/>
    </row>
    <row r="543">
      <c r="C543" s="44"/>
      <c r="E543" s="44"/>
    </row>
    <row r="544">
      <c r="C544" s="44"/>
      <c r="E544" s="44"/>
    </row>
    <row r="545">
      <c r="C545" s="44"/>
      <c r="E545" s="44"/>
    </row>
    <row r="546">
      <c r="C546" s="44"/>
      <c r="E546" s="44"/>
    </row>
    <row r="547">
      <c r="C547" s="44"/>
      <c r="E547" s="44"/>
    </row>
    <row r="548">
      <c r="C548" s="44"/>
      <c r="E548" s="44"/>
    </row>
    <row r="549">
      <c r="C549" s="44"/>
      <c r="E549" s="44"/>
    </row>
    <row r="550">
      <c r="C550" s="44"/>
      <c r="E550" s="44"/>
    </row>
    <row r="551">
      <c r="C551" s="44"/>
      <c r="E551" s="44"/>
    </row>
    <row r="552">
      <c r="C552" s="44"/>
      <c r="E552" s="44"/>
    </row>
    <row r="553">
      <c r="C553" s="44"/>
      <c r="E553" s="44"/>
    </row>
    <row r="554">
      <c r="C554" s="44"/>
      <c r="E554" s="44"/>
    </row>
    <row r="555">
      <c r="C555" s="44"/>
      <c r="E555" s="44"/>
    </row>
    <row r="556">
      <c r="C556" s="44"/>
      <c r="E556" s="44"/>
    </row>
    <row r="557">
      <c r="C557" s="44"/>
      <c r="E557" s="44"/>
    </row>
    <row r="558">
      <c r="C558" s="44"/>
      <c r="E558" s="44"/>
    </row>
    <row r="559">
      <c r="C559" s="44"/>
      <c r="E559" s="44"/>
    </row>
    <row r="560">
      <c r="C560" s="44"/>
      <c r="E560" s="44"/>
    </row>
    <row r="561">
      <c r="C561" s="44"/>
      <c r="E561" s="44"/>
    </row>
    <row r="562">
      <c r="C562" s="44"/>
      <c r="E562" s="44"/>
    </row>
    <row r="563">
      <c r="C563" s="44"/>
      <c r="E563" s="44"/>
    </row>
    <row r="564">
      <c r="C564" s="44"/>
      <c r="E564" s="44"/>
    </row>
    <row r="565">
      <c r="C565" s="44"/>
      <c r="E565" s="44"/>
    </row>
    <row r="566">
      <c r="C566" s="44"/>
      <c r="E566" s="44"/>
    </row>
    <row r="567">
      <c r="C567" s="44"/>
      <c r="E567" s="44"/>
    </row>
    <row r="568">
      <c r="C568" s="44"/>
      <c r="E568" s="44"/>
    </row>
    <row r="569">
      <c r="C569" s="44"/>
      <c r="E569" s="44"/>
    </row>
    <row r="570">
      <c r="C570" s="44"/>
      <c r="E570" s="44"/>
    </row>
    <row r="571">
      <c r="C571" s="44"/>
      <c r="E571" s="44"/>
    </row>
    <row r="572">
      <c r="C572" s="44"/>
      <c r="E572" s="44"/>
    </row>
    <row r="573">
      <c r="C573" s="44"/>
      <c r="E573" s="44"/>
    </row>
    <row r="574">
      <c r="C574" s="44"/>
      <c r="E574" s="44"/>
    </row>
    <row r="575">
      <c r="C575" s="44"/>
      <c r="E575" s="44"/>
    </row>
    <row r="576">
      <c r="C576" s="44"/>
      <c r="E576" s="44"/>
    </row>
    <row r="577">
      <c r="C577" s="44"/>
      <c r="E577" s="44"/>
    </row>
    <row r="578">
      <c r="C578" s="44"/>
      <c r="E578" s="44"/>
    </row>
    <row r="579">
      <c r="C579" s="44"/>
      <c r="E579" s="44"/>
    </row>
    <row r="580">
      <c r="C580" s="44"/>
      <c r="E580" s="44"/>
    </row>
    <row r="581">
      <c r="C581" s="44"/>
      <c r="E581" s="44"/>
    </row>
    <row r="582">
      <c r="C582" s="44"/>
      <c r="E582" s="44"/>
    </row>
    <row r="583">
      <c r="C583" s="44"/>
      <c r="E583" s="44"/>
    </row>
    <row r="584">
      <c r="C584" s="44"/>
      <c r="E584" s="44"/>
    </row>
    <row r="585">
      <c r="C585" s="44"/>
      <c r="E585" s="44"/>
    </row>
    <row r="586">
      <c r="C586" s="44"/>
      <c r="E586" s="44"/>
    </row>
    <row r="587">
      <c r="C587" s="44"/>
      <c r="E587" s="44"/>
    </row>
    <row r="588">
      <c r="C588" s="44"/>
      <c r="E588" s="44"/>
    </row>
    <row r="589">
      <c r="C589" s="44"/>
      <c r="E589" s="44"/>
    </row>
    <row r="590">
      <c r="C590" s="44"/>
      <c r="E590" s="44"/>
    </row>
    <row r="591">
      <c r="C591" s="44"/>
      <c r="E591" s="44"/>
    </row>
    <row r="592">
      <c r="C592" s="44"/>
      <c r="E592" s="44"/>
    </row>
    <row r="593">
      <c r="C593" s="44"/>
      <c r="E593" s="44"/>
    </row>
    <row r="594">
      <c r="C594" s="44"/>
      <c r="E594" s="44"/>
    </row>
    <row r="595">
      <c r="C595" s="44"/>
      <c r="E595" s="44"/>
    </row>
    <row r="596">
      <c r="C596" s="44"/>
      <c r="E596" s="44"/>
    </row>
    <row r="597">
      <c r="C597" s="44"/>
      <c r="E597" s="44"/>
    </row>
    <row r="598">
      <c r="C598" s="44"/>
      <c r="E598" s="44"/>
    </row>
    <row r="599">
      <c r="C599" s="44"/>
      <c r="E599" s="44"/>
    </row>
    <row r="600">
      <c r="C600" s="44"/>
      <c r="E600" s="44"/>
    </row>
    <row r="601">
      <c r="C601" s="44"/>
      <c r="E601" s="44"/>
    </row>
    <row r="602">
      <c r="C602" s="44"/>
      <c r="E602" s="44"/>
    </row>
    <row r="603">
      <c r="C603" s="44"/>
      <c r="E603" s="44"/>
    </row>
    <row r="604">
      <c r="C604" s="44"/>
      <c r="E604" s="44"/>
    </row>
    <row r="605">
      <c r="C605" s="44"/>
      <c r="E605" s="44"/>
    </row>
    <row r="606">
      <c r="C606" s="44"/>
      <c r="E606" s="44"/>
    </row>
    <row r="607">
      <c r="C607" s="44"/>
      <c r="E607" s="44"/>
    </row>
    <row r="608">
      <c r="C608" s="44"/>
      <c r="E608" s="44"/>
    </row>
    <row r="609">
      <c r="C609" s="44"/>
      <c r="E609" s="44"/>
    </row>
    <row r="610">
      <c r="C610" s="44"/>
      <c r="E610" s="44"/>
    </row>
    <row r="611">
      <c r="C611" s="44"/>
      <c r="E611" s="44"/>
    </row>
    <row r="612">
      <c r="C612" s="44"/>
      <c r="E612" s="44"/>
    </row>
    <row r="613">
      <c r="C613" s="44"/>
      <c r="E613" s="44"/>
    </row>
    <row r="614">
      <c r="C614" s="44"/>
      <c r="E614" s="44"/>
    </row>
    <row r="615">
      <c r="C615" s="44"/>
      <c r="E615" s="44"/>
    </row>
    <row r="616">
      <c r="C616" s="44"/>
      <c r="E616" s="44"/>
    </row>
    <row r="617">
      <c r="C617" s="44"/>
      <c r="E617" s="44"/>
    </row>
    <row r="618">
      <c r="C618" s="44"/>
      <c r="E618" s="44"/>
    </row>
    <row r="619">
      <c r="C619" s="44"/>
      <c r="E619" s="44"/>
    </row>
    <row r="620">
      <c r="C620" s="44"/>
      <c r="E620" s="44"/>
    </row>
    <row r="621">
      <c r="C621" s="44"/>
      <c r="E621" s="44"/>
    </row>
    <row r="622">
      <c r="C622" s="44"/>
      <c r="E622" s="44"/>
    </row>
    <row r="623">
      <c r="C623" s="44"/>
      <c r="E623" s="44"/>
    </row>
    <row r="624">
      <c r="C624" s="44"/>
      <c r="E624" s="44"/>
    </row>
    <row r="625">
      <c r="C625" s="44"/>
      <c r="E625" s="44"/>
    </row>
    <row r="626">
      <c r="C626" s="44"/>
      <c r="E626" s="44"/>
    </row>
    <row r="627">
      <c r="C627" s="44"/>
      <c r="E627" s="44"/>
    </row>
    <row r="628">
      <c r="C628" s="44"/>
      <c r="E628" s="44"/>
    </row>
    <row r="629">
      <c r="C629" s="44"/>
      <c r="E629" s="44"/>
    </row>
    <row r="630">
      <c r="C630" s="44"/>
      <c r="E630" s="44"/>
    </row>
    <row r="631">
      <c r="C631" s="44"/>
      <c r="E631" s="44"/>
    </row>
    <row r="632">
      <c r="C632" s="44"/>
      <c r="E632" s="44"/>
    </row>
    <row r="633">
      <c r="C633" s="44"/>
      <c r="E633" s="44"/>
    </row>
    <row r="634">
      <c r="C634" s="44"/>
      <c r="E634" s="44"/>
    </row>
    <row r="635">
      <c r="C635" s="44"/>
      <c r="E635" s="44"/>
    </row>
    <row r="636">
      <c r="C636" s="44"/>
      <c r="E636" s="44"/>
    </row>
    <row r="637">
      <c r="C637" s="44"/>
      <c r="E637" s="44"/>
    </row>
    <row r="638">
      <c r="C638" s="44"/>
      <c r="E638" s="44"/>
    </row>
    <row r="639">
      <c r="C639" s="44"/>
      <c r="E639" s="44"/>
    </row>
    <row r="640">
      <c r="C640" s="44"/>
      <c r="E640" s="44"/>
    </row>
    <row r="641">
      <c r="C641" s="44"/>
      <c r="E641" s="44"/>
    </row>
    <row r="642">
      <c r="C642" s="44"/>
      <c r="E642" s="44"/>
    </row>
    <row r="643">
      <c r="C643" s="44"/>
      <c r="E643" s="44"/>
    </row>
    <row r="644">
      <c r="C644" s="44"/>
      <c r="E644" s="44"/>
    </row>
    <row r="645">
      <c r="C645" s="44"/>
      <c r="E645" s="44"/>
    </row>
    <row r="646">
      <c r="C646" s="44"/>
      <c r="E646" s="44"/>
    </row>
    <row r="647">
      <c r="C647" s="44"/>
      <c r="E647" s="44"/>
    </row>
    <row r="648">
      <c r="C648" s="44"/>
      <c r="E648" s="44"/>
    </row>
    <row r="649">
      <c r="C649" s="44"/>
      <c r="E649" s="44"/>
    </row>
    <row r="650">
      <c r="C650" s="44"/>
      <c r="E650" s="44"/>
    </row>
    <row r="651">
      <c r="C651" s="44"/>
      <c r="E651" s="44"/>
    </row>
    <row r="652">
      <c r="C652" s="44"/>
      <c r="E652" s="44"/>
    </row>
    <row r="653">
      <c r="C653" s="44"/>
      <c r="E653" s="44"/>
    </row>
    <row r="654">
      <c r="C654" s="44"/>
      <c r="E654" s="44"/>
    </row>
    <row r="655">
      <c r="C655" s="44"/>
      <c r="E655" s="44"/>
    </row>
    <row r="656">
      <c r="C656" s="44"/>
      <c r="E656" s="44"/>
    </row>
    <row r="657">
      <c r="C657" s="44"/>
      <c r="E657" s="44"/>
    </row>
    <row r="658">
      <c r="C658" s="44"/>
      <c r="E658" s="44"/>
    </row>
    <row r="659">
      <c r="C659" s="44"/>
      <c r="E659" s="44"/>
    </row>
    <row r="660">
      <c r="C660" s="44"/>
      <c r="E660" s="44"/>
    </row>
    <row r="661">
      <c r="C661" s="44"/>
      <c r="E661" s="44"/>
    </row>
    <row r="662">
      <c r="C662" s="44"/>
      <c r="E662" s="44"/>
    </row>
    <row r="663">
      <c r="C663" s="44"/>
      <c r="E663" s="44"/>
    </row>
    <row r="664">
      <c r="C664" s="44"/>
      <c r="E664" s="44"/>
    </row>
    <row r="665">
      <c r="C665" s="44"/>
      <c r="E665" s="44"/>
    </row>
    <row r="666">
      <c r="C666" s="44"/>
      <c r="E666" s="44"/>
    </row>
    <row r="667">
      <c r="C667" s="44"/>
      <c r="E667" s="44"/>
    </row>
    <row r="668">
      <c r="C668" s="44"/>
      <c r="E668" s="44"/>
    </row>
    <row r="669">
      <c r="C669" s="44"/>
      <c r="E669" s="44"/>
    </row>
    <row r="670">
      <c r="C670" s="44"/>
      <c r="E670" s="44"/>
    </row>
    <row r="671">
      <c r="C671" s="44"/>
      <c r="E671" s="44"/>
    </row>
    <row r="672">
      <c r="C672" s="44"/>
      <c r="E672" s="44"/>
    </row>
    <row r="673">
      <c r="C673" s="44"/>
      <c r="E673" s="44"/>
    </row>
    <row r="674">
      <c r="C674" s="44"/>
      <c r="E674" s="44"/>
    </row>
    <row r="675">
      <c r="C675" s="44"/>
      <c r="E675" s="44"/>
    </row>
    <row r="676">
      <c r="C676" s="44"/>
      <c r="E676" s="44"/>
    </row>
    <row r="677">
      <c r="C677" s="44"/>
      <c r="E677" s="44"/>
    </row>
    <row r="678">
      <c r="C678" s="44"/>
      <c r="E678" s="44"/>
    </row>
    <row r="679">
      <c r="C679" s="44"/>
      <c r="E679" s="44"/>
    </row>
    <row r="680">
      <c r="C680" s="44"/>
      <c r="E680" s="44"/>
    </row>
    <row r="681">
      <c r="C681" s="44"/>
      <c r="E681" s="44"/>
    </row>
    <row r="682">
      <c r="C682" s="44"/>
      <c r="E682" s="44"/>
    </row>
    <row r="683">
      <c r="C683" s="44"/>
      <c r="E683" s="44"/>
    </row>
    <row r="684">
      <c r="C684" s="44"/>
      <c r="E684" s="44"/>
    </row>
    <row r="685">
      <c r="C685" s="44"/>
      <c r="E685" s="44"/>
    </row>
    <row r="686">
      <c r="C686" s="44"/>
      <c r="E686" s="44"/>
    </row>
    <row r="687">
      <c r="C687" s="44"/>
      <c r="E687" s="44"/>
    </row>
    <row r="688">
      <c r="C688" s="44"/>
      <c r="E688" s="44"/>
    </row>
    <row r="689">
      <c r="C689" s="44"/>
      <c r="E689" s="44"/>
    </row>
    <row r="690">
      <c r="C690" s="44"/>
      <c r="E690" s="44"/>
    </row>
    <row r="691">
      <c r="C691" s="44"/>
      <c r="E691" s="44"/>
    </row>
    <row r="692">
      <c r="C692" s="44"/>
      <c r="E692" s="44"/>
    </row>
    <row r="693">
      <c r="C693" s="44"/>
      <c r="E693" s="44"/>
    </row>
    <row r="694">
      <c r="C694" s="44"/>
      <c r="E694" s="44"/>
    </row>
    <row r="695">
      <c r="C695" s="44"/>
      <c r="E695" s="44"/>
    </row>
    <row r="696">
      <c r="C696" s="44"/>
      <c r="E696" s="44"/>
    </row>
    <row r="697">
      <c r="C697" s="44"/>
      <c r="E697" s="44"/>
    </row>
    <row r="698">
      <c r="C698" s="44"/>
      <c r="E698" s="44"/>
    </row>
    <row r="699">
      <c r="C699" s="44"/>
      <c r="E699" s="44"/>
    </row>
    <row r="700">
      <c r="C700" s="44"/>
      <c r="E700" s="44"/>
    </row>
    <row r="701">
      <c r="C701" s="44"/>
      <c r="E701" s="44"/>
    </row>
    <row r="702">
      <c r="C702" s="44"/>
      <c r="E702" s="44"/>
    </row>
    <row r="703">
      <c r="C703" s="44"/>
      <c r="E703" s="44"/>
    </row>
    <row r="704">
      <c r="C704" s="44"/>
      <c r="E704" s="44"/>
    </row>
    <row r="705">
      <c r="C705" s="44"/>
      <c r="E705" s="44"/>
    </row>
    <row r="706">
      <c r="C706" s="44"/>
      <c r="E706" s="44"/>
    </row>
    <row r="707">
      <c r="C707" s="44"/>
      <c r="E707" s="44"/>
    </row>
    <row r="708">
      <c r="C708" s="44"/>
      <c r="E708" s="44"/>
    </row>
    <row r="709">
      <c r="C709" s="44"/>
      <c r="E709" s="44"/>
    </row>
    <row r="710">
      <c r="C710" s="44"/>
      <c r="E710" s="44"/>
    </row>
    <row r="711">
      <c r="C711" s="44"/>
      <c r="E711" s="44"/>
    </row>
    <row r="712">
      <c r="C712" s="44"/>
      <c r="E712" s="44"/>
    </row>
    <row r="713">
      <c r="C713" s="44"/>
      <c r="E713" s="44"/>
    </row>
    <row r="714">
      <c r="C714" s="44"/>
      <c r="E714" s="44"/>
    </row>
    <row r="715">
      <c r="C715" s="44"/>
      <c r="E715" s="44"/>
    </row>
    <row r="716">
      <c r="C716" s="44"/>
      <c r="E716" s="44"/>
    </row>
    <row r="717">
      <c r="C717" s="44"/>
      <c r="E717" s="44"/>
    </row>
    <row r="718">
      <c r="C718" s="44"/>
      <c r="E718" s="44"/>
    </row>
    <row r="719">
      <c r="C719" s="44"/>
      <c r="E719" s="44"/>
    </row>
    <row r="720">
      <c r="C720" s="44"/>
      <c r="E720" s="44"/>
    </row>
    <row r="721">
      <c r="C721" s="44"/>
      <c r="E721" s="44"/>
    </row>
    <row r="722">
      <c r="C722" s="44"/>
      <c r="E722" s="44"/>
    </row>
    <row r="723">
      <c r="C723" s="44"/>
      <c r="E723" s="44"/>
    </row>
    <row r="724">
      <c r="C724" s="44"/>
      <c r="E724" s="44"/>
    </row>
    <row r="725">
      <c r="C725" s="44"/>
      <c r="E725" s="44"/>
    </row>
    <row r="726">
      <c r="C726" s="44"/>
      <c r="E726" s="44"/>
    </row>
    <row r="727">
      <c r="C727" s="44"/>
      <c r="E727" s="44"/>
    </row>
    <row r="728">
      <c r="C728" s="44"/>
      <c r="E728" s="44"/>
    </row>
    <row r="729">
      <c r="C729" s="44"/>
      <c r="E729" s="44"/>
    </row>
    <row r="730">
      <c r="C730" s="44"/>
      <c r="E730" s="44"/>
    </row>
    <row r="731">
      <c r="C731" s="44"/>
      <c r="E731" s="44"/>
    </row>
    <row r="732">
      <c r="C732" s="44"/>
      <c r="E732" s="44"/>
    </row>
    <row r="733">
      <c r="C733" s="44"/>
      <c r="E733" s="44"/>
    </row>
    <row r="734">
      <c r="C734" s="44"/>
      <c r="E734" s="44"/>
    </row>
    <row r="735">
      <c r="C735" s="44"/>
      <c r="E735" s="44"/>
    </row>
    <row r="736">
      <c r="C736" s="44"/>
      <c r="E736" s="44"/>
    </row>
    <row r="737">
      <c r="C737" s="44"/>
      <c r="E737" s="44"/>
    </row>
    <row r="738">
      <c r="C738" s="44"/>
      <c r="E738" s="44"/>
    </row>
    <row r="739">
      <c r="C739" s="44"/>
      <c r="E739" s="44"/>
    </row>
    <row r="740">
      <c r="C740" s="44"/>
      <c r="E740" s="44"/>
    </row>
    <row r="741">
      <c r="C741" s="44"/>
      <c r="E741" s="44"/>
    </row>
    <row r="742">
      <c r="C742" s="44"/>
      <c r="E742" s="44"/>
    </row>
    <row r="743">
      <c r="C743" s="44"/>
      <c r="E743" s="44"/>
    </row>
    <row r="744">
      <c r="C744" s="44"/>
      <c r="E744" s="44"/>
    </row>
    <row r="745">
      <c r="C745" s="44"/>
      <c r="E745" s="44"/>
    </row>
    <row r="746">
      <c r="C746" s="44"/>
      <c r="E746" s="44"/>
    </row>
    <row r="747">
      <c r="C747" s="44"/>
      <c r="E747" s="44"/>
    </row>
    <row r="748">
      <c r="C748" s="44"/>
      <c r="E748" s="44"/>
    </row>
    <row r="749">
      <c r="C749" s="44"/>
      <c r="E749" s="44"/>
    </row>
    <row r="750">
      <c r="C750" s="44"/>
      <c r="E750" s="44"/>
    </row>
    <row r="751">
      <c r="C751" s="44"/>
      <c r="E751" s="44"/>
    </row>
    <row r="752">
      <c r="C752" s="44"/>
      <c r="E752" s="44"/>
    </row>
    <row r="753">
      <c r="C753" s="44"/>
      <c r="E753" s="44"/>
    </row>
    <row r="754">
      <c r="C754" s="44"/>
      <c r="E754" s="44"/>
    </row>
    <row r="755">
      <c r="C755" s="44"/>
      <c r="E755" s="44"/>
    </row>
    <row r="756">
      <c r="C756" s="44"/>
      <c r="E756" s="44"/>
    </row>
    <row r="757">
      <c r="C757" s="44"/>
      <c r="E757" s="44"/>
    </row>
    <row r="758">
      <c r="C758" s="44"/>
      <c r="E758" s="44"/>
    </row>
    <row r="759">
      <c r="C759" s="44"/>
      <c r="E759" s="44"/>
    </row>
    <row r="760">
      <c r="C760" s="44"/>
      <c r="E760" s="44"/>
    </row>
    <row r="761">
      <c r="C761" s="44"/>
      <c r="E761" s="44"/>
    </row>
    <row r="762">
      <c r="C762" s="44"/>
      <c r="E762" s="44"/>
    </row>
    <row r="763">
      <c r="C763" s="44"/>
      <c r="E763" s="44"/>
    </row>
    <row r="764">
      <c r="C764" s="44"/>
      <c r="E764" s="44"/>
    </row>
    <row r="765">
      <c r="C765" s="44"/>
      <c r="E765" s="44"/>
    </row>
    <row r="766">
      <c r="C766" s="44"/>
      <c r="E766" s="44"/>
    </row>
    <row r="767">
      <c r="C767" s="44"/>
      <c r="E767" s="44"/>
    </row>
    <row r="768">
      <c r="C768" s="44"/>
      <c r="E768" s="44"/>
    </row>
    <row r="769">
      <c r="C769" s="44"/>
      <c r="E769" s="44"/>
    </row>
    <row r="770">
      <c r="C770" s="44"/>
      <c r="E770" s="44"/>
    </row>
    <row r="771">
      <c r="C771" s="44"/>
      <c r="E771" s="44"/>
    </row>
    <row r="772">
      <c r="C772" s="44"/>
      <c r="E772" s="44"/>
    </row>
    <row r="773">
      <c r="C773" s="44"/>
      <c r="E773" s="44"/>
    </row>
    <row r="774">
      <c r="C774" s="44"/>
      <c r="E774" s="44"/>
    </row>
    <row r="775">
      <c r="C775" s="44"/>
      <c r="E775" s="44"/>
    </row>
    <row r="776">
      <c r="C776" s="44"/>
      <c r="E776" s="44"/>
    </row>
    <row r="777">
      <c r="C777" s="44"/>
      <c r="E777" s="44"/>
    </row>
    <row r="778">
      <c r="C778" s="44"/>
      <c r="E778" s="44"/>
    </row>
    <row r="779">
      <c r="C779" s="44"/>
      <c r="E779" s="44"/>
    </row>
    <row r="780">
      <c r="C780" s="44"/>
      <c r="E780" s="44"/>
    </row>
    <row r="781">
      <c r="C781" s="44"/>
      <c r="E781" s="44"/>
    </row>
    <row r="782">
      <c r="C782" s="44"/>
      <c r="E782" s="44"/>
    </row>
    <row r="783">
      <c r="C783" s="44"/>
      <c r="E783" s="44"/>
    </row>
    <row r="784">
      <c r="C784" s="44"/>
      <c r="E784" s="44"/>
    </row>
    <row r="785">
      <c r="C785" s="44"/>
      <c r="E785" s="44"/>
    </row>
    <row r="786">
      <c r="C786" s="44"/>
      <c r="E786" s="44"/>
    </row>
    <row r="787">
      <c r="C787" s="44"/>
      <c r="E787" s="44"/>
    </row>
    <row r="788">
      <c r="C788" s="44"/>
      <c r="E788" s="44"/>
    </row>
    <row r="789">
      <c r="C789" s="44"/>
      <c r="E789" s="44"/>
    </row>
    <row r="790">
      <c r="C790" s="44"/>
      <c r="E790" s="44"/>
    </row>
    <row r="791">
      <c r="C791" s="44"/>
      <c r="E791" s="44"/>
    </row>
    <row r="792">
      <c r="C792" s="44"/>
      <c r="E792" s="44"/>
    </row>
    <row r="793">
      <c r="C793" s="44"/>
      <c r="E793" s="44"/>
    </row>
    <row r="794">
      <c r="C794" s="44"/>
      <c r="E794" s="44"/>
    </row>
    <row r="795">
      <c r="C795" s="44"/>
      <c r="E795" s="44"/>
    </row>
    <row r="796">
      <c r="C796" s="44"/>
      <c r="E796" s="44"/>
    </row>
    <row r="797">
      <c r="C797" s="44"/>
      <c r="E797" s="44"/>
    </row>
    <row r="798">
      <c r="C798" s="44"/>
      <c r="E798" s="44"/>
    </row>
    <row r="799">
      <c r="C799" s="44"/>
      <c r="E799" s="44"/>
    </row>
    <row r="800">
      <c r="C800" s="44"/>
      <c r="E800" s="44"/>
    </row>
    <row r="801">
      <c r="C801" s="44"/>
      <c r="E801" s="44"/>
    </row>
    <row r="802">
      <c r="C802" s="44"/>
      <c r="E802" s="44"/>
    </row>
    <row r="803">
      <c r="C803" s="44"/>
      <c r="E803" s="44"/>
    </row>
    <row r="804">
      <c r="C804" s="44"/>
      <c r="E804" s="44"/>
    </row>
    <row r="805">
      <c r="C805" s="44"/>
      <c r="E805" s="44"/>
    </row>
    <row r="806">
      <c r="C806" s="44"/>
      <c r="E806" s="44"/>
    </row>
    <row r="807">
      <c r="C807" s="44"/>
      <c r="E807" s="44"/>
    </row>
    <row r="808">
      <c r="C808" s="44"/>
      <c r="E808" s="44"/>
    </row>
    <row r="809">
      <c r="C809" s="44"/>
      <c r="E809" s="44"/>
    </row>
    <row r="810">
      <c r="C810" s="44"/>
      <c r="E810" s="44"/>
    </row>
    <row r="811">
      <c r="C811" s="44"/>
      <c r="E811" s="44"/>
    </row>
    <row r="812">
      <c r="C812" s="44"/>
      <c r="E812" s="44"/>
    </row>
    <row r="813">
      <c r="C813" s="44"/>
      <c r="E813" s="44"/>
    </row>
    <row r="814">
      <c r="C814" s="44"/>
      <c r="E814" s="44"/>
    </row>
    <row r="815">
      <c r="C815" s="44"/>
      <c r="E815" s="44"/>
    </row>
    <row r="816">
      <c r="C816" s="44"/>
      <c r="E816" s="44"/>
    </row>
    <row r="817">
      <c r="C817" s="44"/>
      <c r="E817" s="44"/>
    </row>
    <row r="818">
      <c r="C818" s="44"/>
      <c r="E818" s="44"/>
    </row>
    <row r="819">
      <c r="C819" s="44"/>
      <c r="E819" s="44"/>
    </row>
    <row r="820">
      <c r="C820" s="44"/>
      <c r="E820" s="44"/>
    </row>
    <row r="821">
      <c r="C821" s="44"/>
      <c r="E821" s="44"/>
    </row>
    <row r="822">
      <c r="C822" s="44"/>
      <c r="E822" s="44"/>
    </row>
    <row r="823">
      <c r="C823" s="44"/>
      <c r="E823" s="44"/>
    </row>
    <row r="824">
      <c r="C824" s="44"/>
      <c r="E824" s="44"/>
    </row>
    <row r="825">
      <c r="C825" s="44"/>
      <c r="E825" s="44"/>
    </row>
    <row r="826">
      <c r="C826" s="44"/>
      <c r="E826" s="44"/>
    </row>
    <row r="827">
      <c r="C827" s="44"/>
      <c r="E827" s="44"/>
    </row>
    <row r="828">
      <c r="C828" s="44"/>
      <c r="E828" s="44"/>
    </row>
    <row r="829">
      <c r="C829" s="44"/>
      <c r="E829" s="44"/>
    </row>
    <row r="830">
      <c r="C830" s="44"/>
      <c r="E830" s="44"/>
    </row>
    <row r="831">
      <c r="C831" s="44"/>
      <c r="E831" s="44"/>
    </row>
    <row r="832">
      <c r="C832" s="44"/>
      <c r="E832" s="44"/>
    </row>
    <row r="833">
      <c r="C833" s="44"/>
      <c r="E833" s="44"/>
    </row>
    <row r="834">
      <c r="C834" s="44"/>
      <c r="E834" s="44"/>
    </row>
    <row r="835">
      <c r="C835" s="44"/>
      <c r="E835" s="44"/>
    </row>
    <row r="836">
      <c r="C836" s="44"/>
      <c r="E836" s="44"/>
    </row>
    <row r="837">
      <c r="C837" s="44"/>
      <c r="E837" s="44"/>
    </row>
    <row r="838">
      <c r="C838" s="44"/>
      <c r="E838" s="44"/>
    </row>
    <row r="839">
      <c r="C839" s="44"/>
      <c r="E839" s="44"/>
    </row>
    <row r="840">
      <c r="C840" s="44"/>
      <c r="E840" s="44"/>
    </row>
    <row r="841">
      <c r="C841" s="44"/>
      <c r="E841" s="44"/>
    </row>
    <row r="842">
      <c r="C842" s="44"/>
      <c r="E842" s="44"/>
    </row>
    <row r="843">
      <c r="C843" s="44"/>
      <c r="E843" s="44"/>
    </row>
    <row r="844">
      <c r="C844" s="44"/>
      <c r="E844" s="44"/>
    </row>
    <row r="845">
      <c r="C845" s="44"/>
      <c r="E845" s="44"/>
    </row>
    <row r="846">
      <c r="C846" s="44"/>
      <c r="E846" s="44"/>
    </row>
    <row r="847">
      <c r="C847" s="44"/>
      <c r="E847" s="44"/>
    </row>
    <row r="848">
      <c r="C848" s="44"/>
      <c r="E848" s="44"/>
    </row>
    <row r="849">
      <c r="C849" s="44"/>
      <c r="E849" s="44"/>
    </row>
    <row r="850">
      <c r="C850" s="44"/>
      <c r="E850" s="44"/>
    </row>
    <row r="851">
      <c r="C851" s="44"/>
      <c r="E851" s="44"/>
    </row>
    <row r="852">
      <c r="C852" s="44"/>
      <c r="E852" s="44"/>
    </row>
    <row r="853">
      <c r="C853" s="44"/>
      <c r="E853" s="44"/>
    </row>
    <row r="854">
      <c r="C854" s="44"/>
      <c r="E854" s="44"/>
    </row>
    <row r="855">
      <c r="C855" s="44"/>
      <c r="E855" s="44"/>
    </row>
    <row r="856">
      <c r="C856" s="44"/>
      <c r="E856" s="44"/>
    </row>
    <row r="857">
      <c r="C857" s="44"/>
      <c r="E857" s="44"/>
    </row>
    <row r="858">
      <c r="C858" s="44"/>
      <c r="E858" s="44"/>
    </row>
    <row r="859">
      <c r="C859" s="44"/>
      <c r="E859" s="44"/>
    </row>
    <row r="860">
      <c r="C860" s="44"/>
      <c r="E860" s="44"/>
    </row>
    <row r="861">
      <c r="C861" s="44"/>
      <c r="E861" s="44"/>
    </row>
    <row r="862">
      <c r="C862" s="44"/>
      <c r="E862" s="44"/>
    </row>
    <row r="863">
      <c r="C863" s="44"/>
      <c r="E863" s="44"/>
    </row>
    <row r="864">
      <c r="C864" s="44"/>
      <c r="E864" s="44"/>
    </row>
    <row r="865">
      <c r="C865" s="44"/>
      <c r="E865" s="44"/>
    </row>
    <row r="866">
      <c r="C866" s="44"/>
      <c r="E866" s="44"/>
    </row>
    <row r="867">
      <c r="C867" s="44"/>
      <c r="E867" s="44"/>
    </row>
    <row r="868">
      <c r="C868" s="44"/>
      <c r="E868" s="44"/>
    </row>
    <row r="869">
      <c r="C869" s="44"/>
      <c r="E869" s="44"/>
    </row>
    <row r="870">
      <c r="C870" s="44"/>
      <c r="E870" s="44"/>
    </row>
    <row r="871">
      <c r="C871" s="44"/>
      <c r="E871" s="44"/>
    </row>
    <row r="872">
      <c r="C872" s="44"/>
      <c r="E872" s="44"/>
    </row>
    <row r="873">
      <c r="C873" s="44"/>
      <c r="E873" s="44"/>
    </row>
    <row r="874">
      <c r="C874" s="44"/>
      <c r="E874" s="44"/>
    </row>
    <row r="875">
      <c r="C875" s="44"/>
      <c r="E875" s="44"/>
    </row>
    <row r="876">
      <c r="C876" s="44"/>
      <c r="E876" s="44"/>
    </row>
    <row r="877">
      <c r="C877" s="44"/>
      <c r="E877" s="44"/>
    </row>
    <row r="878">
      <c r="C878" s="44"/>
      <c r="E878" s="44"/>
    </row>
    <row r="879">
      <c r="C879" s="44"/>
      <c r="E879" s="44"/>
    </row>
    <row r="880">
      <c r="C880" s="44"/>
      <c r="E880" s="44"/>
    </row>
    <row r="881">
      <c r="C881" s="44"/>
      <c r="E881" s="44"/>
    </row>
    <row r="882">
      <c r="C882" s="44"/>
      <c r="E882" s="44"/>
    </row>
    <row r="883">
      <c r="C883" s="44"/>
      <c r="E883" s="44"/>
    </row>
    <row r="884">
      <c r="C884" s="44"/>
      <c r="E884" s="44"/>
    </row>
    <row r="885">
      <c r="C885" s="44"/>
      <c r="E885" s="44"/>
    </row>
    <row r="886">
      <c r="C886" s="44"/>
      <c r="E886" s="44"/>
    </row>
    <row r="887">
      <c r="C887" s="44"/>
      <c r="E887" s="44"/>
    </row>
    <row r="888">
      <c r="C888" s="44"/>
      <c r="E888" s="44"/>
    </row>
    <row r="889">
      <c r="C889" s="44"/>
      <c r="E889" s="44"/>
    </row>
    <row r="890">
      <c r="C890" s="44"/>
      <c r="E890" s="44"/>
    </row>
    <row r="891">
      <c r="C891" s="44"/>
      <c r="E891" s="44"/>
    </row>
    <row r="892">
      <c r="C892" s="44"/>
      <c r="E892" s="44"/>
    </row>
    <row r="893">
      <c r="C893" s="44"/>
      <c r="E893" s="44"/>
    </row>
    <row r="894">
      <c r="C894" s="44"/>
      <c r="E894" s="44"/>
    </row>
    <row r="895">
      <c r="C895" s="44"/>
      <c r="E895" s="44"/>
    </row>
    <row r="896">
      <c r="C896" s="44"/>
      <c r="E896" s="44"/>
    </row>
    <row r="897">
      <c r="C897" s="44"/>
      <c r="E897" s="44"/>
    </row>
    <row r="898">
      <c r="C898" s="44"/>
      <c r="E898" s="44"/>
    </row>
    <row r="899">
      <c r="C899" s="44"/>
      <c r="E899" s="44"/>
    </row>
    <row r="900">
      <c r="C900" s="44"/>
      <c r="E900" s="44"/>
    </row>
    <row r="901">
      <c r="C901" s="44"/>
      <c r="E901" s="44"/>
    </row>
    <row r="902">
      <c r="C902" s="44"/>
      <c r="E902" s="44"/>
    </row>
    <row r="903">
      <c r="C903" s="44"/>
      <c r="E903" s="44"/>
    </row>
    <row r="904">
      <c r="C904" s="44"/>
      <c r="E904" s="44"/>
    </row>
    <row r="905">
      <c r="C905" s="44"/>
      <c r="E905" s="44"/>
    </row>
    <row r="906">
      <c r="C906" s="44"/>
      <c r="E906" s="44"/>
    </row>
    <row r="907">
      <c r="C907" s="44"/>
      <c r="E907" s="44"/>
    </row>
    <row r="908">
      <c r="C908" s="44"/>
      <c r="E908" s="44"/>
    </row>
    <row r="909">
      <c r="C909" s="44"/>
      <c r="E909" s="44"/>
    </row>
    <row r="910">
      <c r="C910" s="44"/>
      <c r="E910" s="44"/>
    </row>
    <row r="911">
      <c r="C911" s="44"/>
      <c r="E911" s="44"/>
    </row>
    <row r="912">
      <c r="C912" s="44"/>
      <c r="E912" s="44"/>
    </row>
    <row r="913">
      <c r="C913" s="44"/>
      <c r="E913" s="44"/>
    </row>
    <row r="914">
      <c r="C914" s="44"/>
      <c r="E914" s="44"/>
    </row>
    <row r="915">
      <c r="C915" s="44"/>
      <c r="E915" s="44"/>
    </row>
    <row r="916">
      <c r="C916" s="44"/>
      <c r="E916" s="44"/>
    </row>
    <row r="917">
      <c r="C917" s="44"/>
      <c r="E917" s="44"/>
    </row>
    <row r="918">
      <c r="C918" s="44"/>
      <c r="E918" s="44"/>
    </row>
    <row r="919">
      <c r="C919" s="44"/>
      <c r="E919" s="44"/>
    </row>
    <row r="920">
      <c r="C920" s="44"/>
      <c r="E920" s="44"/>
    </row>
    <row r="921">
      <c r="C921" s="44"/>
      <c r="E921" s="44"/>
    </row>
    <row r="922">
      <c r="C922" s="44"/>
      <c r="E922" s="44"/>
    </row>
    <row r="923">
      <c r="C923" s="44"/>
      <c r="E923" s="44"/>
    </row>
    <row r="924">
      <c r="C924" s="44"/>
      <c r="E924" s="44"/>
    </row>
    <row r="925">
      <c r="C925" s="44"/>
      <c r="E925" s="44"/>
    </row>
    <row r="926">
      <c r="C926" s="44"/>
      <c r="E926" s="44"/>
    </row>
    <row r="927">
      <c r="C927" s="44"/>
      <c r="E927" s="44"/>
    </row>
    <row r="928">
      <c r="C928" s="44"/>
      <c r="E928" s="44"/>
    </row>
    <row r="929">
      <c r="C929" s="44"/>
      <c r="E929" s="44"/>
    </row>
    <row r="930">
      <c r="C930" s="44"/>
      <c r="E930" s="44"/>
    </row>
    <row r="931">
      <c r="C931" s="44"/>
      <c r="E931" s="44"/>
    </row>
    <row r="932">
      <c r="C932" s="44"/>
      <c r="E932" s="44"/>
    </row>
    <row r="933">
      <c r="C933" s="44"/>
      <c r="E933" s="44"/>
    </row>
    <row r="934">
      <c r="C934" s="44"/>
      <c r="E934" s="44"/>
    </row>
    <row r="935">
      <c r="C935" s="44"/>
      <c r="E935" s="44"/>
    </row>
    <row r="936">
      <c r="C936" s="44"/>
      <c r="E936" s="44"/>
    </row>
    <row r="937">
      <c r="C937" s="44"/>
      <c r="E937" s="44"/>
    </row>
    <row r="938">
      <c r="C938" s="44"/>
      <c r="E938" s="44"/>
    </row>
    <row r="939">
      <c r="C939" s="44"/>
      <c r="E939" s="44"/>
    </row>
    <row r="940">
      <c r="C940" s="44"/>
      <c r="E940" s="44"/>
    </row>
    <row r="941">
      <c r="C941" s="44"/>
      <c r="E941" s="44"/>
    </row>
    <row r="942">
      <c r="C942" s="44"/>
      <c r="E942" s="44"/>
    </row>
    <row r="943">
      <c r="C943" s="44"/>
      <c r="E943" s="44"/>
    </row>
    <row r="944">
      <c r="C944" s="44"/>
      <c r="E944" s="44"/>
    </row>
    <row r="945">
      <c r="C945" s="44"/>
      <c r="E945" s="44"/>
    </row>
    <row r="946">
      <c r="C946" s="44"/>
      <c r="E946" s="44"/>
    </row>
    <row r="947">
      <c r="C947" s="44"/>
      <c r="E947" s="44"/>
    </row>
    <row r="948">
      <c r="C948" s="44"/>
      <c r="E948" s="44"/>
    </row>
    <row r="949">
      <c r="C949" s="44"/>
      <c r="E949" s="44"/>
    </row>
    <row r="950">
      <c r="C950" s="44"/>
      <c r="E950" s="44"/>
    </row>
    <row r="951">
      <c r="C951" s="44"/>
      <c r="E951" s="44"/>
    </row>
    <row r="952">
      <c r="C952" s="44"/>
      <c r="E952" s="44"/>
    </row>
    <row r="953">
      <c r="C953" s="44"/>
      <c r="E953" s="44"/>
    </row>
    <row r="954">
      <c r="C954" s="44"/>
      <c r="E954" s="44"/>
    </row>
    <row r="955">
      <c r="C955" s="44"/>
      <c r="E955" s="44"/>
    </row>
    <row r="956">
      <c r="C956" s="44"/>
      <c r="E956" s="44"/>
    </row>
    <row r="957">
      <c r="C957" s="44"/>
      <c r="E957" s="44"/>
    </row>
    <row r="958">
      <c r="C958" s="44"/>
      <c r="E958" s="44"/>
    </row>
    <row r="959">
      <c r="C959" s="44"/>
      <c r="E959" s="44"/>
    </row>
    <row r="960">
      <c r="C960" s="44"/>
      <c r="E960" s="44"/>
    </row>
    <row r="961">
      <c r="C961" s="44"/>
      <c r="E961" s="44"/>
    </row>
    <row r="962">
      <c r="C962" s="44"/>
      <c r="E962" s="44"/>
    </row>
    <row r="963">
      <c r="C963" s="44"/>
      <c r="E963" s="44"/>
    </row>
    <row r="964">
      <c r="C964" s="44"/>
      <c r="E964" s="44"/>
    </row>
    <row r="965">
      <c r="C965" s="44"/>
      <c r="E965" s="44"/>
    </row>
    <row r="966">
      <c r="C966" s="44"/>
      <c r="E966" s="44"/>
    </row>
    <row r="967">
      <c r="C967" s="44"/>
      <c r="E967" s="44"/>
    </row>
    <row r="968">
      <c r="C968" s="44"/>
      <c r="E968" s="44"/>
    </row>
    <row r="969">
      <c r="C969" s="44"/>
      <c r="E969" s="44"/>
    </row>
    <row r="970">
      <c r="C970" s="44"/>
      <c r="E970" s="44"/>
    </row>
    <row r="971">
      <c r="C971" s="44"/>
      <c r="E971" s="44"/>
    </row>
    <row r="972">
      <c r="C972" s="44"/>
      <c r="E972" s="44"/>
    </row>
    <row r="973">
      <c r="C973" s="44"/>
      <c r="E973" s="44"/>
    </row>
    <row r="974">
      <c r="C974" s="44"/>
      <c r="E974" s="44"/>
    </row>
    <row r="975">
      <c r="C975" s="44"/>
      <c r="E975" s="44"/>
    </row>
    <row r="976">
      <c r="C976" s="44"/>
      <c r="E976" s="44"/>
    </row>
    <row r="977">
      <c r="C977" s="44"/>
      <c r="E977" s="44"/>
    </row>
    <row r="978">
      <c r="C978" s="44"/>
      <c r="E978" s="44"/>
    </row>
    <row r="979">
      <c r="C979" s="44"/>
      <c r="E979" s="44"/>
    </row>
    <row r="980">
      <c r="C980" s="44"/>
      <c r="E980" s="44"/>
    </row>
    <row r="981">
      <c r="C981" s="44"/>
      <c r="E981" s="44"/>
    </row>
    <row r="982">
      <c r="C982" s="44"/>
      <c r="E982" s="44"/>
    </row>
    <row r="983">
      <c r="C983" s="44"/>
      <c r="E983" s="44"/>
    </row>
    <row r="984">
      <c r="C984" s="44"/>
      <c r="E984" s="44"/>
    </row>
    <row r="985">
      <c r="C985" s="44"/>
      <c r="E985" s="44"/>
    </row>
    <row r="986">
      <c r="C986" s="44"/>
      <c r="E986" s="44"/>
    </row>
    <row r="987">
      <c r="C987" s="44"/>
      <c r="E987" s="44"/>
    </row>
    <row r="988">
      <c r="C988" s="44"/>
      <c r="E988" s="44"/>
    </row>
    <row r="989">
      <c r="C989" s="44"/>
      <c r="E989" s="44"/>
    </row>
    <row r="990">
      <c r="C990" s="44"/>
      <c r="E990" s="44"/>
    </row>
    <row r="991">
      <c r="C991" s="44"/>
      <c r="E991" s="44"/>
    </row>
    <row r="992">
      <c r="C992" s="44"/>
      <c r="E992" s="44"/>
    </row>
    <row r="993">
      <c r="C993" s="44"/>
      <c r="E993" s="44"/>
    </row>
    <row r="994">
      <c r="C994" s="44"/>
      <c r="E994" s="44"/>
    </row>
    <row r="995">
      <c r="C995" s="44"/>
      <c r="E995" s="44"/>
    </row>
    <row r="996">
      <c r="C996" s="44"/>
      <c r="E996" s="44"/>
    </row>
    <row r="997">
      <c r="C997" s="44"/>
      <c r="E997" s="44"/>
    </row>
    <row r="998">
      <c r="C998" s="44"/>
      <c r="E998" s="44"/>
    </row>
    <row r="999">
      <c r="C999" s="44"/>
      <c r="E999" s="44"/>
    </row>
    <row r="1000">
      <c r="C1000" s="44"/>
      <c r="E1000" s="44"/>
    </row>
  </sheetData>
  <autoFilter ref="$A$1:$E$11"/>
  <drawing r:id="rId1"/>
</worksheet>
</file>